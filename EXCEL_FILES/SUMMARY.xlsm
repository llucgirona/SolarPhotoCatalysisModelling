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luca\Dropbox\TFG\Photo_catalisi\Solar_Reactor__DefinitiveModel\EXCEL_FILES\"/>
    </mc:Choice>
  </mc:AlternateContent>
  <xr:revisionPtr revIDLastSave="0" documentId="13_ncr:1_{CB8694D1-DC17-4616-9A77-128CC37F491C}" xr6:coauthVersionLast="47" xr6:coauthVersionMax="47" xr10:uidLastSave="{00000000-0000-0000-0000-000000000000}"/>
  <bookViews>
    <workbookView minimized="1" xWindow="8250" yWindow="340" windowWidth="9540" windowHeight="6000" tabRatio="930" firstSheet="2" activeTab="2" xr2:uid="{00000000-000D-0000-FFFF-FFFF00000000}"/>
  </bookViews>
  <sheets>
    <sheet name="Hoja1" sheetId="16" r:id="rId1"/>
    <sheet name="Info" sheetId="3" r:id="rId2"/>
    <sheet name="Models" sheetId="1" r:id="rId3"/>
    <sheet name="INTERVAL_95%_TOTS" sheetId="4" r:id="rId4"/>
    <sheet name="INTERVAL_95%_TOTS_AO_fora" sheetId="14" r:id="rId5"/>
    <sheet name="INTERVAL_99%_TOTS" sheetId="5" r:id="rId6"/>
    <sheet name="INTERVAL_99%_TOTS_AO_fora" sheetId="15" r:id="rId7"/>
    <sheet name="INTERVAL_95%_ALVARO_IE" sheetId="6" r:id="rId8"/>
    <sheet name="INTERVAL_99%_ALVARO_IE" sheetId="13" r:id="rId9"/>
  </sheets>
  <definedNames>
    <definedName name="_Toc142648973" localSheetId="0">Hoja1!$A$1</definedName>
    <definedName name="_Toc142648974" localSheetId="0">Hoja1!$G$1</definedName>
    <definedName name="_Toc142648975" localSheetId="0">Hoja1!$M$1</definedName>
    <definedName name="_Toc142648976" localSheetId="0">Hoja1!$R$1</definedName>
    <definedName name="_Toc142648977" localSheetId="0">Hoja1!$W$1</definedName>
    <definedName name="_Toc142648978" localSheetId="0">Hoja1!$AB$1</definedName>
    <definedName name="_Toc142648979" localSheetId="0">Hoja1!$AH$1</definedName>
    <definedName name="_Toc142648980" localSheetId="0">Hoja1!$AN$1</definedName>
    <definedName name="_Toc142648981" localSheetId="0">Hoja1!$A$19</definedName>
    <definedName name="_Toc142648982" localSheetId="0">Hoja1!$G$19</definedName>
    <definedName name="_Toc142648983" localSheetId="0">Hoja1!$M$19</definedName>
    <definedName name="_Toc142648984" localSheetId="0">Hoja1!$S$19</definedName>
    <definedName name="_Toc142648985" localSheetId="0">Hoja1!$Y$19</definedName>
    <definedName name="_Toc142648986" localSheetId="0">Hoja1!$AE$19</definedName>
    <definedName name="_Toc142648987" localSheetId="0">Hoja1!$AK$19</definedName>
    <definedName name="_Toc142648988" localSheetId="0">Hoja1!$AQ$19</definedName>
    <definedName name="_Toc142648989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6" i="16" l="1"/>
  <c r="BD15" i="16"/>
  <c r="BB12" i="16"/>
  <c r="BB13" i="16"/>
  <c r="BB14" i="16"/>
  <c r="BB15" i="16"/>
  <c r="BB16" i="16"/>
  <c r="BB17" i="16"/>
  <c r="BB18" i="16"/>
  <c r="BB19" i="16"/>
  <c r="BB4" i="16"/>
  <c r="BB5" i="16"/>
  <c r="BB6" i="16"/>
  <c r="BB7" i="16"/>
  <c r="BB8" i="16"/>
  <c r="BB9" i="16"/>
  <c r="BB10" i="16"/>
  <c r="BB3" i="16"/>
  <c r="AV31" i="16" l="1"/>
  <c r="AV30" i="16"/>
  <c r="AV29" i="16"/>
  <c r="AV28" i="16"/>
  <c r="AV27" i="16"/>
  <c r="AV26" i="16"/>
  <c r="AV25" i="16"/>
  <c r="AV24" i="16"/>
  <c r="AV23" i="16"/>
  <c r="AV22" i="16"/>
  <c r="AV21" i="16"/>
  <c r="AT31" i="16"/>
  <c r="AT30" i="16"/>
  <c r="AT29" i="16"/>
  <c r="AT28" i="16"/>
  <c r="AT27" i="16"/>
  <c r="AT26" i="16"/>
  <c r="AT25" i="16"/>
  <c r="AT24" i="16"/>
  <c r="AT23" i="16"/>
  <c r="AT22" i="16"/>
  <c r="AT21" i="16"/>
  <c r="AP31" i="16"/>
  <c r="AP30" i="16"/>
  <c r="AP29" i="16"/>
  <c r="AP28" i="16"/>
  <c r="AP27" i="16"/>
  <c r="AP26" i="16"/>
  <c r="AP25" i="16"/>
  <c r="AP24" i="16"/>
  <c r="AP23" i="16"/>
  <c r="AP22" i="16"/>
  <c r="AP21" i="16"/>
  <c r="AN28" i="16"/>
  <c r="AN29" i="16"/>
  <c r="AN30" i="16"/>
  <c r="AN31" i="16"/>
  <c r="AN27" i="16"/>
  <c r="AN26" i="16"/>
  <c r="AN25" i="16"/>
  <c r="AN24" i="16"/>
  <c r="AN23" i="16"/>
  <c r="AN22" i="16"/>
  <c r="AN21" i="16"/>
  <c r="AJ27" i="16"/>
  <c r="AJ26" i="16"/>
  <c r="AJ25" i="16"/>
  <c r="AJ24" i="16"/>
  <c r="AJ23" i="16"/>
  <c r="AJ22" i="16"/>
  <c r="AJ21" i="16"/>
  <c r="AH27" i="16"/>
  <c r="AH26" i="16"/>
  <c r="AH25" i="16"/>
  <c r="AH24" i="16"/>
  <c r="AH23" i="16"/>
  <c r="AH22" i="16"/>
  <c r="AH21" i="16"/>
  <c r="AD30" i="16"/>
  <c r="AD29" i="16"/>
  <c r="AD28" i="16"/>
  <c r="AD27" i="16"/>
  <c r="AD26" i="16"/>
  <c r="AD25" i="16"/>
  <c r="AD24" i="16"/>
  <c r="AD23" i="16"/>
  <c r="AD22" i="16"/>
  <c r="AD21" i="16"/>
  <c r="AB30" i="16"/>
  <c r="AB29" i="16"/>
  <c r="AB28" i="16"/>
  <c r="AB27" i="16"/>
  <c r="AB26" i="16"/>
  <c r="AB25" i="16"/>
  <c r="AB24" i="16"/>
  <c r="AB23" i="16"/>
  <c r="AB22" i="16"/>
  <c r="AB21" i="16"/>
  <c r="X29" i="16"/>
  <c r="X28" i="16"/>
  <c r="X27" i="16"/>
  <c r="X26" i="16"/>
  <c r="X25" i="16"/>
  <c r="X24" i="16"/>
  <c r="X23" i="16"/>
  <c r="X22" i="16"/>
  <c r="X21" i="16"/>
  <c r="V29" i="16"/>
  <c r="V28" i="16"/>
  <c r="V27" i="16"/>
  <c r="V26" i="16"/>
  <c r="V25" i="16"/>
  <c r="V24" i="16"/>
  <c r="V23" i="16"/>
  <c r="V22" i="16"/>
  <c r="V21" i="16"/>
  <c r="R30" i="16"/>
  <c r="R29" i="16"/>
  <c r="R28" i="16"/>
  <c r="R27" i="16"/>
  <c r="R26" i="16"/>
  <c r="R25" i="16"/>
  <c r="R24" i="16"/>
  <c r="R23" i="16"/>
  <c r="R22" i="16"/>
  <c r="R21" i="16"/>
  <c r="P28" i="16"/>
  <c r="P29" i="16"/>
  <c r="P30" i="16"/>
  <c r="L28" i="16"/>
  <c r="L29" i="16"/>
  <c r="L30" i="16"/>
  <c r="L31" i="16"/>
  <c r="J28" i="16"/>
  <c r="J29" i="16"/>
  <c r="J30" i="16"/>
  <c r="J31" i="16"/>
  <c r="P27" i="16"/>
  <c r="P26" i="16"/>
  <c r="P25" i="16"/>
  <c r="P24" i="16"/>
  <c r="P23" i="16"/>
  <c r="P22" i="16"/>
  <c r="P21" i="16"/>
  <c r="L27" i="16"/>
  <c r="L26" i="16"/>
  <c r="L25" i="16"/>
  <c r="L24" i="16"/>
  <c r="L23" i="16"/>
  <c r="L22" i="16"/>
  <c r="L21" i="16"/>
  <c r="J27" i="16"/>
  <c r="J26" i="16"/>
  <c r="J25" i="16"/>
  <c r="J24" i="16"/>
  <c r="J23" i="16"/>
  <c r="J22" i="16"/>
  <c r="J21" i="16"/>
  <c r="F27" i="16"/>
  <c r="F26" i="16"/>
  <c r="F25" i="16"/>
  <c r="F24" i="16"/>
  <c r="F23" i="16"/>
  <c r="F22" i="16"/>
  <c r="F21" i="16"/>
  <c r="D22" i="16"/>
  <c r="D23" i="16"/>
  <c r="D24" i="16"/>
  <c r="D25" i="16"/>
  <c r="D26" i="16"/>
  <c r="D27" i="16"/>
  <c r="D21" i="16"/>
  <c r="AE4" i="16"/>
  <c r="AE5" i="16"/>
  <c r="AE6" i="16"/>
  <c r="AE7" i="16"/>
  <c r="AE8" i="16"/>
  <c r="AE9" i="16"/>
  <c r="AE10" i="16"/>
  <c r="AE11" i="16"/>
  <c r="AE12" i="16"/>
  <c r="AG4" i="16"/>
  <c r="AG5" i="16"/>
  <c r="AG6" i="16"/>
  <c r="AG7" i="16"/>
  <c r="AG8" i="16"/>
  <c r="AG9" i="16"/>
  <c r="AG10" i="16"/>
  <c r="AG11" i="16"/>
  <c r="AG12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K4" i="16"/>
  <c r="AK5" i="16"/>
  <c r="AK6" i="16"/>
  <c r="AK7" i="16"/>
  <c r="AK8" i="16"/>
  <c r="AK9" i="16"/>
  <c r="AK11" i="16"/>
  <c r="AK12" i="16"/>
  <c r="AK13" i="16"/>
  <c r="AK14" i="16"/>
  <c r="AK15" i="16"/>
  <c r="AK16" i="16"/>
  <c r="AK17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V4" i="16"/>
  <c r="V5" i="16"/>
  <c r="V6" i="16"/>
  <c r="V7" i="16"/>
  <c r="V8" i="16"/>
  <c r="V9" i="16"/>
  <c r="V10" i="16"/>
  <c r="V11" i="16"/>
  <c r="V12" i="16"/>
  <c r="V13" i="16"/>
  <c r="V14" i="16"/>
  <c r="V15" i="16"/>
  <c r="Q4" i="16"/>
  <c r="Q5" i="16"/>
  <c r="Q6" i="16"/>
  <c r="Q7" i="16"/>
  <c r="L5" i="16"/>
  <c r="L6" i="16"/>
  <c r="L7" i="16"/>
  <c r="L8" i="16"/>
  <c r="L9" i="16"/>
  <c r="L10" i="16"/>
  <c r="L11" i="16"/>
  <c r="J5" i="16"/>
  <c r="J6" i="16"/>
  <c r="J7" i="16"/>
  <c r="J10" i="16"/>
  <c r="J11" i="16"/>
  <c r="F4" i="16"/>
  <c r="F5" i="16"/>
  <c r="F6" i="16"/>
  <c r="F7" i="16"/>
  <c r="F8" i="16"/>
  <c r="F9" i="16"/>
  <c r="F10" i="16"/>
  <c r="F11" i="16"/>
  <c r="F12" i="16"/>
  <c r="F13" i="16"/>
  <c r="F14" i="16"/>
  <c r="F15" i="16"/>
  <c r="D4" i="16"/>
  <c r="D5" i="16"/>
  <c r="D6" i="16"/>
  <c r="D7" i="16"/>
  <c r="D8" i="16"/>
  <c r="D9" i="16"/>
  <c r="D10" i="16"/>
  <c r="D11" i="16"/>
  <c r="D12" i="16"/>
  <c r="D13" i="16"/>
  <c r="D14" i="16"/>
  <c r="D15" i="16"/>
  <c r="D3" i="16"/>
  <c r="F3" i="16"/>
  <c r="J3" i="16"/>
  <c r="L3" i="16"/>
  <c r="Q3" i="16"/>
  <c r="V3" i="16"/>
  <c r="AA3" i="16"/>
  <c r="AE3" i="16"/>
  <c r="AG3" i="16"/>
  <c r="AK3" i="16"/>
  <c r="AM3" i="16"/>
  <c r="AQ4" i="16"/>
  <c r="AQ5" i="16"/>
  <c r="AQ6" i="16"/>
  <c r="AQ7" i="16"/>
  <c r="AQ8" i="16"/>
  <c r="AQ9" i="16"/>
  <c r="AQ10" i="16"/>
  <c r="AQ11" i="16"/>
  <c r="AQ12" i="16"/>
  <c r="AQ13" i="16"/>
  <c r="AQ14" i="16"/>
  <c r="AQ3" i="16"/>
  <c r="AS4" i="16"/>
  <c r="AS5" i="16"/>
  <c r="AS6" i="16"/>
  <c r="AS7" i="16"/>
  <c r="AS8" i="16"/>
  <c r="AS9" i="16"/>
  <c r="AS10" i="16"/>
  <c r="AS11" i="16"/>
  <c r="AS12" i="16"/>
  <c r="AS13" i="16"/>
  <c r="AS14" i="16"/>
  <c r="AS3" i="16"/>
  <c r="E27" i="15"/>
  <c r="D27" i="15"/>
  <c r="C27" i="15"/>
  <c r="E26" i="15"/>
  <c r="D26" i="15"/>
  <c r="C26" i="15"/>
  <c r="E25" i="15"/>
  <c r="D25" i="15"/>
  <c r="C25" i="15"/>
  <c r="E24" i="15"/>
  <c r="G24" i="15" s="1"/>
  <c r="D24" i="15"/>
  <c r="C24" i="15"/>
  <c r="E27" i="14"/>
  <c r="D27" i="14"/>
  <c r="G27" i="14" s="1"/>
  <c r="C27" i="14"/>
  <c r="E26" i="14"/>
  <c r="D26" i="14"/>
  <c r="G26" i="14" s="1"/>
  <c r="C26" i="14"/>
  <c r="E25" i="14"/>
  <c r="G25" i="14" s="1"/>
  <c r="D25" i="14"/>
  <c r="C25" i="14"/>
  <c r="E24" i="14"/>
  <c r="D24" i="14"/>
  <c r="G24" i="14" s="1"/>
  <c r="C24" i="14"/>
  <c r="G25" i="15" l="1"/>
  <c r="I25" i="15" s="1"/>
  <c r="G27" i="15"/>
  <c r="I27" i="15" s="1"/>
  <c r="G26" i="15"/>
  <c r="I26" i="15" s="1"/>
  <c r="I24" i="15"/>
  <c r="H24" i="15"/>
  <c r="I24" i="14"/>
  <c r="H25" i="14"/>
  <c r="I25" i="14"/>
  <c r="I26" i="14"/>
  <c r="I27" i="14"/>
  <c r="H26" i="14"/>
  <c r="H24" i="14"/>
  <c r="H27" i="14"/>
  <c r="C21" i="5"/>
  <c r="H25" i="15" l="1"/>
  <c r="H27" i="15"/>
  <c r="H19" i="15" s="1"/>
  <c r="H26" i="15"/>
  <c r="D12" i="15" s="1"/>
  <c r="H16" i="15"/>
  <c r="H15" i="15"/>
  <c r="H17" i="15"/>
  <c r="D16" i="15"/>
  <c r="D15" i="15"/>
  <c r="D13" i="15"/>
  <c r="D18" i="15"/>
  <c r="D19" i="15"/>
  <c r="D9" i="15"/>
  <c r="D7" i="15"/>
  <c r="D8" i="15"/>
  <c r="D6" i="15"/>
  <c r="D5" i="15"/>
  <c r="D4" i="15"/>
  <c r="D10" i="15"/>
  <c r="D11" i="15"/>
  <c r="H9" i="15"/>
  <c r="H5" i="15"/>
  <c r="H4" i="15"/>
  <c r="H11" i="15"/>
  <c r="H10" i="15"/>
  <c r="H16" i="14"/>
  <c r="H15" i="14"/>
  <c r="H14" i="14"/>
  <c r="H17" i="14"/>
  <c r="H13" i="14"/>
  <c r="H19" i="14"/>
  <c r="H18" i="14"/>
  <c r="H12" i="14"/>
  <c r="D8" i="14"/>
  <c r="D7" i="14"/>
  <c r="D11" i="14"/>
  <c r="D6" i="14"/>
  <c r="D4" i="14"/>
  <c r="D5" i="14"/>
  <c r="D10" i="14"/>
  <c r="D9" i="14"/>
  <c r="D16" i="14"/>
  <c r="D15" i="14"/>
  <c r="D12" i="14"/>
  <c r="D19" i="14"/>
  <c r="D18" i="14"/>
  <c r="D17" i="14"/>
  <c r="D14" i="14"/>
  <c r="D13" i="14"/>
  <c r="H8" i="14"/>
  <c r="H7" i="14"/>
  <c r="H6" i="14"/>
  <c r="H5" i="14"/>
  <c r="H9" i="14"/>
  <c r="H10" i="14"/>
  <c r="H11" i="14"/>
  <c r="H4" i="14"/>
  <c r="D15" i="13"/>
  <c r="C15" i="13"/>
  <c r="F15" i="13" s="1"/>
  <c r="B15" i="13"/>
  <c r="H13" i="15" l="1"/>
  <c r="H18" i="15"/>
  <c r="H14" i="15"/>
  <c r="H12" i="15"/>
  <c r="D17" i="15"/>
  <c r="D14" i="15"/>
  <c r="H15" i="13"/>
  <c r="G15" i="13"/>
  <c r="D15" i="6"/>
  <c r="C15" i="6"/>
  <c r="F15" i="6" s="1"/>
  <c r="B15" i="6"/>
  <c r="G24" i="5"/>
  <c r="D24" i="5"/>
  <c r="E27" i="5"/>
  <c r="D27" i="5"/>
  <c r="C27" i="5"/>
  <c r="E26" i="5"/>
  <c r="D26" i="5"/>
  <c r="G26" i="5" s="1"/>
  <c r="C26" i="5"/>
  <c r="E25" i="5"/>
  <c r="D25" i="5"/>
  <c r="C25" i="5"/>
  <c r="E24" i="5"/>
  <c r="C24" i="5"/>
  <c r="E25" i="4"/>
  <c r="E27" i="4"/>
  <c r="E26" i="4"/>
  <c r="E24" i="4"/>
  <c r="D27" i="4"/>
  <c r="D26" i="4"/>
  <c r="G26" i="4" s="1"/>
  <c r="H26" i="4" s="1"/>
  <c r="C27" i="4"/>
  <c r="C26" i="4"/>
  <c r="D25" i="4"/>
  <c r="G25" i="4" s="1"/>
  <c r="I25" i="4" s="1"/>
  <c r="C25" i="4"/>
  <c r="D24" i="4"/>
  <c r="G24" i="4" s="1"/>
  <c r="I24" i="4" s="1"/>
  <c r="H8" i="4" s="1"/>
  <c r="C24" i="4"/>
  <c r="AM4" i="1"/>
  <c r="AM5" i="1"/>
  <c r="AM9" i="1"/>
  <c r="AM10" i="1"/>
  <c r="AM11" i="1"/>
  <c r="AM12" i="1"/>
  <c r="AM13" i="1"/>
  <c r="AM14" i="1"/>
  <c r="AM15" i="1"/>
  <c r="AM16" i="1"/>
  <c r="AM17" i="1"/>
  <c r="AM18" i="1"/>
  <c r="AM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3" i="1"/>
  <c r="G25" i="3"/>
  <c r="E25" i="3"/>
  <c r="G24" i="3"/>
  <c r="E24" i="3"/>
  <c r="G23" i="3"/>
  <c r="E23" i="3"/>
  <c r="G21" i="3"/>
  <c r="E21" i="3"/>
  <c r="G19" i="3"/>
  <c r="E19" i="3"/>
  <c r="G18" i="3"/>
  <c r="E18" i="3"/>
  <c r="G17" i="3"/>
  <c r="E17" i="3"/>
  <c r="G16" i="3"/>
  <c r="E16" i="3"/>
  <c r="G15" i="3"/>
  <c r="E15" i="3"/>
  <c r="G14" i="3"/>
  <c r="E14" i="3"/>
  <c r="G13" i="3"/>
  <c r="E13" i="3"/>
  <c r="G12" i="3"/>
  <c r="E12" i="3"/>
  <c r="G11" i="3"/>
  <c r="E11" i="3"/>
  <c r="G9" i="3"/>
  <c r="E9" i="3"/>
  <c r="G8" i="3"/>
  <c r="E8" i="3"/>
  <c r="G7" i="3"/>
  <c r="E7" i="3"/>
  <c r="G6" i="3"/>
  <c r="E6" i="3"/>
  <c r="G5" i="3"/>
  <c r="E5" i="3"/>
  <c r="G4" i="3"/>
  <c r="E4" i="3"/>
  <c r="G3" i="3"/>
  <c r="E3" i="3"/>
  <c r="G2" i="3"/>
  <c r="E2" i="3"/>
  <c r="D4" i="13" l="1"/>
  <c r="D11" i="13"/>
  <c r="D10" i="13"/>
  <c r="D8" i="13"/>
  <c r="D6" i="13"/>
  <c r="D9" i="13"/>
  <c r="D7" i="13"/>
  <c r="D5" i="13"/>
  <c r="G27" i="4"/>
  <c r="H27" i="4" s="1"/>
  <c r="H7" i="4"/>
  <c r="H4" i="4"/>
  <c r="H9" i="4"/>
  <c r="H6" i="4"/>
  <c r="H11" i="4"/>
  <c r="H5" i="4"/>
  <c r="H10" i="4"/>
  <c r="H15" i="6"/>
  <c r="G15" i="6"/>
  <c r="G27" i="5"/>
  <c r="H27" i="5" s="1"/>
  <c r="H24" i="5"/>
  <c r="G25" i="5"/>
  <c r="I25" i="5" s="1"/>
  <c r="I26" i="5"/>
  <c r="H26" i="5"/>
  <c r="H24" i="4"/>
  <c r="I26" i="4"/>
  <c r="D19" i="4" s="1"/>
  <c r="H25" i="4"/>
  <c r="H20" i="4" l="1"/>
  <c r="D15" i="4"/>
  <c r="D20" i="4"/>
  <c r="D12" i="4"/>
  <c r="D14" i="4"/>
  <c r="D18" i="4"/>
  <c r="D16" i="4"/>
  <c r="D13" i="4"/>
  <c r="I27" i="4"/>
  <c r="H14" i="4" s="1"/>
  <c r="D4" i="4"/>
  <c r="D11" i="4"/>
  <c r="D5" i="4"/>
  <c r="D6" i="4"/>
  <c r="D7" i="4"/>
  <c r="D9" i="4"/>
  <c r="D10" i="4"/>
  <c r="D8" i="4"/>
  <c r="H18" i="4"/>
  <c r="H13" i="4"/>
  <c r="H15" i="4"/>
  <c r="H17" i="4"/>
  <c r="D17" i="4"/>
  <c r="D11" i="6"/>
  <c r="D6" i="6"/>
  <c r="D12" i="6"/>
  <c r="D5" i="6"/>
  <c r="D10" i="6"/>
  <c r="D9" i="6"/>
  <c r="D8" i="6"/>
  <c r="D7" i="6"/>
  <c r="D4" i="6"/>
  <c r="D19" i="5"/>
  <c r="D20" i="5"/>
  <c r="I27" i="5"/>
  <c r="H19" i="5" s="1"/>
  <c r="H25" i="5"/>
  <c r="I24" i="5"/>
  <c r="D7" i="5" s="1"/>
  <c r="D16" i="5"/>
  <c r="D15" i="5"/>
  <c r="D14" i="5"/>
  <c r="D13" i="5"/>
  <c r="D12" i="5"/>
  <c r="D18" i="5"/>
  <c r="D17" i="5"/>
  <c r="H12" i="4" l="1"/>
  <c r="H18" i="5"/>
  <c r="H12" i="5"/>
  <c r="H14" i="5"/>
  <c r="H19" i="4"/>
  <c r="H16" i="4"/>
  <c r="H7" i="5"/>
  <c r="H8" i="5"/>
  <c r="D5" i="5"/>
  <c r="D6" i="5"/>
  <c r="H17" i="5"/>
  <c r="D9" i="5"/>
  <c r="H4" i="5"/>
  <c r="D11" i="5"/>
  <c r="H13" i="5"/>
  <c r="D4" i="5"/>
  <c r="H16" i="5"/>
  <c r="H5" i="5"/>
  <c r="H20" i="5"/>
  <c r="H15" i="5"/>
  <c r="H11" i="5"/>
  <c r="H6" i="5"/>
  <c r="D10" i="5"/>
  <c r="H9" i="5"/>
  <c r="D8" i="5"/>
  <c r="H10" i="5"/>
</calcChain>
</file>

<file path=xl/sharedStrings.xml><?xml version="1.0" encoding="utf-8"?>
<sst xmlns="http://schemas.openxmlformats.org/spreadsheetml/2006/main" count="649" uniqueCount="136">
  <si>
    <t>B</t>
  </si>
  <si>
    <t>C</t>
  </si>
  <si>
    <t>D</t>
  </si>
  <si>
    <t>H</t>
  </si>
  <si>
    <t>I</t>
  </si>
  <si>
    <t>AE</t>
  </si>
  <si>
    <t>AM</t>
  </si>
  <si>
    <t>AG</t>
  </si>
  <si>
    <t>AN</t>
  </si>
  <si>
    <t>AD</t>
  </si>
  <si>
    <t>AT5</t>
  </si>
  <si>
    <t>AJ</t>
  </si>
  <si>
    <t>AK</t>
  </si>
  <si>
    <t>AY</t>
  </si>
  <si>
    <t>AL</t>
  </si>
  <si>
    <t>AO</t>
  </si>
  <si>
    <t>Alpha</t>
  </si>
  <si>
    <t>EXPERIMENTS</t>
  </si>
  <si>
    <t>C0 [μM]</t>
  </si>
  <si>
    <t>FO</t>
  </si>
  <si>
    <t>R2</t>
  </si>
  <si>
    <t>α</t>
  </si>
  <si>
    <t>EXPERIMENT – CODI NOU</t>
  </si>
  <si>
    <t>CODI ANTIC</t>
  </si>
  <si>
    <t>Època</t>
  </si>
  <si>
    <t>Data</t>
  </si>
  <si>
    <t>Ordre</t>
  </si>
  <si>
    <r>
      <t>C</t>
    </r>
    <r>
      <rPr>
        <b/>
        <vertAlign val="subscript"/>
        <sz val="9"/>
        <color theme="1"/>
        <rFont val="Calibri"/>
        <family val="2"/>
        <scheme val="minor"/>
      </rPr>
      <t>0</t>
    </r>
    <r>
      <rPr>
        <b/>
        <sz val="9"/>
        <color theme="1"/>
        <rFont val="Calibri"/>
        <family val="2"/>
        <scheme val="minor"/>
      </rPr>
      <t xml:space="preserve"> (mg/L)</t>
    </r>
  </si>
  <si>
    <r>
      <t>C</t>
    </r>
    <r>
      <rPr>
        <b/>
        <vertAlign val="subscript"/>
        <sz val="9"/>
        <color theme="1"/>
        <rFont val="Calibri"/>
        <family val="2"/>
        <scheme val="minor"/>
      </rPr>
      <t>0</t>
    </r>
    <r>
      <rPr>
        <b/>
        <sz val="9"/>
        <color theme="1"/>
        <rFont val="Calibri"/>
        <family val="2"/>
        <scheme val="minor"/>
      </rPr>
      <t xml:space="preserve"> (μmol/L)</t>
    </r>
  </si>
  <si>
    <t>Flow (mL/min)</t>
  </si>
  <si>
    <t>T mitja (ºC)</t>
  </si>
  <si>
    <t>E_MAX (mJ/cm2)</t>
  </si>
  <si>
    <t>T_14_1_M</t>
  </si>
  <si>
    <t>Tardor</t>
  </si>
  <si>
    <t>MODELATGE</t>
  </si>
  <si>
    <t>T_06_1_M</t>
  </si>
  <si>
    <t>T_14_2_M</t>
  </si>
  <si>
    <t>T_10_1_M</t>
  </si>
  <si>
    <t>E</t>
  </si>
  <si>
    <t>T_10_2_M</t>
  </si>
  <si>
    <t>F</t>
  </si>
  <si>
    <t>T_10_3_M</t>
  </si>
  <si>
    <t>G</t>
  </si>
  <si>
    <t>T_04_1_M</t>
  </si>
  <si>
    <t>T_16_1_M</t>
  </si>
  <si>
    <t>---</t>
  </si>
  <si>
    <t>P_02_1_M</t>
  </si>
  <si>
    <t>Primavera</t>
  </si>
  <si>
    <t>P_04_1_M</t>
  </si>
  <si>
    <t>P_05_1_M</t>
  </si>
  <si>
    <t>P_05_2_M</t>
  </si>
  <si>
    <t>P_05_3_M</t>
  </si>
  <si>
    <t>P_10_1_M</t>
  </si>
  <si>
    <t>P_12_1_M</t>
  </si>
  <si>
    <t>P_15_1_M</t>
  </si>
  <si>
    <t>P_15_2_M</t>
  </si>
  <si>
    <t>P_06_1_V</t>
  </si>
  <si>
    <t>VALIDACIÓ</t>
  </si>
  <si>
    <t>P_10_1_E</t>
  </si>
  <si>
    <t>EXPLOTACIÓ (ECLIPSI)</t>
  </si>
  <si>
    <t>P_10_2_E</t>
  </si>
  <si>
    <t>Lt5</t>
  </si>
  <si>
    <t>EXPLOTACIÓ ( 5 hores – neutralització evaporació)</t>
  </si>
  <si>
    <t>P_10_3_E</t>
  </si>
  <si>
    <t>Lv25</t>
  </si>
  <si>
    <t>EXPLOTACIÓ ( 2.5 L – neutralització evaporació)</t>
  </si>
  <si>
    <t>Alpha_CE</t>
  </si>
  <si>
    <t>--</t>
  </si>
  <si>
    <t>k</t>
  </si>
  <si>
    <t>n</t>
  </si>
  <si>
    <t>m</t>
  </si>
  <si>
    <t>Order_n_m</t>
  </si>
  <si>
    <t>C0</t>
  </si>
  <si>
    <t>Order_n_m_CE</t>
  </si>
  <si>
    <t>Order1</t>
  </si>
  <si>
    <t>Order1_CE</t>
  </si>
  <si>
    <t>Order0</t>
  </si>
  <si>
    <t>Order0_CE</t>
  </si>
  <si>
    <t>β</t>
  </si>
  <si>
    <t>AlphaBeta</t>
  </si>
  <si>
    <t>AlphaBeta_CE</t>
  </si>
  <si>
    <t>γ</t>
  </si>
  <si>
    <t>AlphaGamma</t>
  </si>
  <si>
    <t>α/β</t>
  </si>
  <si>
    <t>Incloent evaporació</t>
  </si>
  <si>
    <t>Excloent evaporació</t>
  </si>
  <si>
    <t>Mitjana</t>
  </si>
  <si>
    <t>Desviació estandard</t>
  </si>
  <si>
    <t>t Students</t>
  </si>
  <si>
    <t>tamany</t>
  </si>
  <si>
    <t>alpha</t>
  </si>
  <si>
    <t>limit inf</t>
  </si>
  <si>
    <t>limit sup</t>
  </si>
  <si>
    <t>dins interval</t>
  </si>
  <si>
    <t>Order1_Incloent evaporació</t>
  </si>
  <si>
    <t>Order1_Excloent evaporació</t>
  </si>
  <si>
    <t>Ordre 1 Incloent Evaporació</t>
  </si>
  <si>
    <t>Ordre 1 excloent Evaporació</t>
  </si>
  <si>
    <r>
      <t xml:space="preserve">Taula 23. </t>
    </r>
    <r>
      <rPr>
        <sz val="11"/>
        <color theme="1"/>
        <rFont val="Calibri"/>
        <family val="2"/>
      </rPr>
      <t xml:space="preserve">Experiment </t>
    </r>
    <r>
      <rPr>
        <sz val="10"/>
        <color theme="1"/>
        <rFont val="Calibri"/>
        <family val="2"/>
      </rPr>
      <t>A_04_1_M</t>
    </r>
  </si>
  <si>
    <t>t (min)</t>
  </si>
  <si>
    <r>
      <t>E (mJ/cm</t>
    </r>
    <r>
      <rPr>
        <b/>
        <vertAlign val="superscript"/>
        <sz val="8"/>
        <color rgb="FFFFFFFF"/>
        <rFont val="Calibri"/>
        <family val="2"/>
      </rPr>
      <t>2</t>
    </r>
    <r>
      <rPr>
        <b/>
        <sz val="8"/>
        <color rgb="FFFFFFFF"/>
        <rFont val="Calibri"/>
        <family val="2"/>
      </rPr>
      <t>)</t>
    </r>
  </si>
  <si>
    <t>C blanc (mg/L)</t>
  </si>
  <si>
    <t>C cat (mg/L)</t>
  </si>
  <si>
    <r>
      <t xml:space="preserve">Taula 24. </t>
    </r>
    <r>
      <rPr>
        <sz val="11"/>
        <color theme="1"/>
        <rFont val="Calibri"/>
        <family val="2"/>
      </rPr>
      <t>Experiment A_06_1_M</t>
    </r>
  </si>
  <si>
    <r>
      <t xml:space="preserve">Taula 25. </t>
    </r>
    <r>
      <rPr>
        <sz val="11"/>
        <color theme="1"/>
        <rFont val="Calibri"/>
        <family val="2"/>
      </rPr>
      <t>Experiment A_10_1_M</t>
    </r>
  </si>
  <si>
    <r>
      <t xml:space="preserve">Taula 26. </t>
    </r>
    <r>
      <rPr>
        <sz val="11"/>
        <color theme="1"/>
        <rFont val="Calibri"/>
        <family val="2"/>
      </rPr>
      <t>Experiment A_10_2_M</t>
    </r>
  </si>
  <si>
    <r>
      <t xml:space="preserve">Taula 27. </t>
    </r>
    <r>
      <rPr>
        <sz val="11"/>
        <color theme="1"/>
        <rFont val="Calibri"/>
        <family val="2"/>
      </rPr>
      <t>Experiment A_10_3_M</t>
    </r>
  </si>
  <si>
    <r>
      <t xml:space="preserve">Taula 28. </t>
    </r>
    <r>
      <rPr>
        <sz val="11"/>
        <color theme="1"/>
        <rFont val="Calibri"/>
        <family val="2"/>
      </rPr>
      <t>Experiment A_14_1_M</t>
    </r>
  </si>
  <si>
    <r>
      <t xml:space="preserve">Taula 29. </t>
    </r>
    <r>
      <rPr>
        <sz val="11"/>
        <color theme="1"/>
        <rFont val="Calibri"/>
        <family val="2"/>
      </rPr>
      <t>Experiment A_14_2_M</t>
    </r>
  </si>
  <si>
    <r>
      <t xml:space="preserve">Taula 30. </t>
    </r>
    <r>
      <rPr>
        <sz val="11"/>
        <color theme="1"/>
        <rFont val="Calibri"/>
        <family val="2"/>
      </rPr>
      <t>Experiment A_16_1_M</t>
    </r>
  </si>
  <si>
    <r>
      <t xml:space="preserve">Taula 31. </t>
    </r>
    <r>
      <rPr>
        <sz val="11"/>
        <color theme="1"/>
        <rFont val="Calibri"/>
        <family val="2"/>
      </rPr>
      <t>Experiment S_02_1_M</t>
    </r>
  </si>
  <si>
    <r>
      <t xml:space="preserve">Taula 32. </t>
    </r>
    <r>
      <rPr>
        <sz val="11"/>
        <color theme="1"/>
        <rFont val="Calibri"/>
        <family val="2"/>
      </rPr>
      <t>Experiment S_04_1_M</t>
    </r>
  </si>
  <si>
    <r>
      <t xml:space="preserve">Taula 33. </t>
    </r>
    <r>
      <rPr>
        <sz val="11"/>
        <color theme="1"/>
        <rFont val="Calibri"/>
        <family val="2"/>
      </rPr>
      <t>Experiment S_05_1_M</t>
    </r>
  </si>
  <si>
    <r>
      <t xml:space="preserve">Taula 34. </t>
    </r>
    <r>
      <rPr>
        <sz val="11"/>
        <color theme="1"/>
        <rFont val="Calibri"/>
        <family val="2"/>
      </rPr>
      <t>Experiment S_05_2_M</t>
    </r>
  </si>
  <si>
    <r>
      <t xml:space="preserve">Taula 35. </t>
    </r>
    <r>
      <rPr>
        <sz val="11"/>
        <color theme="1"/>
        <rFont val="Calibri"/>
        <family val="2"/>
      </rPr>
      <t>Experiment S_05_3_M</t>
    </r>
  </si>
  <si>
    <r>
      <t xml:space="preserve">Taula 36. </t>
    </r>
    <r>
      <rPr>
        <sz val="11"/>
        <color theme="1"/>
        <rFont val="Calibri"/>
        <family val="2"/>
      </rPr>
      <t>Experiment S_10_1_M</t>
    </r>
  </si>
  <si>
    <r>
      <t xml:space="preserve">Taula 37. </t>
    </r>
    <r>
      <rPr>
        <sz val="11"/>
        <color theme="1"/>
        <rFont val="Calibri"/>
        <family val="2"/>
      </rPr>
      <t>Experiment S_12_1_M</t>
    </r>
  </si>
  <si>
    <r>
      <t xml:space="preserve">Taula 38. </t>
    </r>
    <r>
      <rPr>
        <sz val="11"/>
        <color theme="1"/>
        <rFont val="Calibri"/>
        <family val="2"/>
      </rPr>
      <t>Experiment S_15_1_M</t>
    </r>
  </si>
  <si>
    <r>
      <t>E MAX (mJ/cm</t>
    </r>
    <r>
      <rPr>
        <b/>
        <vertAlign val="superscript"/>
        <sz val="10"/>
        <color rgb="FFFFFFFF"/>
        <rFont val="Calibri"/>
        <family val="2"/>
      </rPr>
      <t>2</t>
    </r>
    <r>
      <rPr>
        <b/>
        <sz val="10"/>
        <color rgb="FFFFFFFF"/>
        <rFont val="Calibri"/>
        <family val="2"/>
      </rPr>
      <t>)</t>
    </r>
  </si>
  <si>
    <t>t (h)</t>
  </si>
  <si>
    <t>A_04_1_M</t>
  </si>
  <si>
    <t>A_06_1_M</t>
  </si>
  <si>
    <t>A_10_1_M</t>
  </si>
  <si>
    <t>A_10_2_M</t>
  </si>
  <si>
    <t>A_10_3_M</t>
  </si>
  <si>
    <t>A_14_1_M</t>
  </si>
  <si>
    <t>A_14_2_M</t>
  </si>
  <si>
    <t>A_16_1_M</t>
  </si>
  <si>
    <t>S_02_1_M</t>
  </si>
  <si>
    <t>S_04_1_M</t>
  </si>
  <si>
    <t>S_05_1_M</t>
  </si>
  <si>
    <t>S_05_2_M</t>
  </si>
  <si>
    <t>S_05_3_M</t>
  </si>
  <si>
    <t>S_10_1_M</t>
  </si>
  <si>
    <t>S_12_1_M</t>
  </si>
  <si>
    <t>S_15_1_M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</si>
</sst>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\ &quot;μM&quot;"/>
    <numFmt numFmtId="165" formatCode="0.0000"/>
    <numFmt numFmtId="166" formatCode="_-* #,##0.0000_-;\-* #,##0.0000_-;_-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96"/>
      <name val="Calibri"/>
      <family val="2"/>
      <scheme val="minor"/>
    </font>
    <font>
      <b/>
      <sz val="11"/>
      <color rgb="FFDCE6F0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vertAlign val="subscript"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b/>
      <sz val="8"/>
      <color rgb="FFFFFFFF"/>
      <name val="Calibri"/>
      <family val="2"/>
    </font>
    <font>
      <b/>
      <vertAlign val="superscript"/>
      <sz val="8"/>
      <color rgb="FFFFFFFF"/>
      <name val="Calibri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FFFFFF"/>
      <name val="Calibri"/>
      <family val="2"/>
    </font>
    <font>
      <b/>
      <vertAlign val="superscript"/>
      <sz val="10"/>
      <color rgb="FFFFFFFF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sz val="9"/>
      <color rgb="FF00B050"/>
      <name val="Calibri"/>
      <family val="2"/>
    </font>
    <font>
      <sz val="10"/>
      <color rgb="FFFFFFFF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DE640A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4472C4"/>
      </left>
      <right/>
      <top style="medium">
        <color rgb="FF4472C4"/>
      </top>
      <bottom style="medium">
        <color rgb="FF4472C4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/>
      <bottom style="medium">
        <color rgb="FF4472C4"/>
      </bottom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/>
      <right/>
      <top style="medium">
        <color rgb="FF8EAADB"/>
      </top>
      <bottom/>
      <diagonal/>
    </border>
    <border>
      <left style="medium">
        <color rgb="FF8EAADB"/>
      </left>
      <right/>
      <top/>
      <bottom/>
      <diagonal/>
    </border>
    <border>
      <left/>
      <right/>
      <top style="medium">
        <color rgb="FF8EAADB"/>
      </top>
      <bottom style="medium">
        <color rgb="FF4472C4"/>
      </bottom>
      <diagonal/>
    </border>
    <border>
      <left/>
      <right style="medium">
        <color rgb="FF8EAADB"/>
      </right>
      <top style="medium">
        <color rgb="FF8EAADB"/>
      </top>
      <bottom/>
      <diagonal/>
    </border>
    <border>
      <left/>
      <right style="medium">
        <color rgb="FF8EAADB"/>
      </right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4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1">
      <alignment horizontal="center"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5" borderId="1">
      <alignment horizontal="center" vertical="center"/>
    </xf>
    <xf numFmtId="0" fontId="7" fillId="6" borderId="1">
      <alignment horizontal="center" vertical="center"/>
    </xf>
    <xf numFmtId="0" fontId="4" fillId="7" borderId="0" applyNumberFormat="0" applyBorder="0" applyAlignment="0" applyProtection="0"/>
    <xf numFmtId="0" fontId="1" fillId="8" borderId="0" applyNumberFormat="0" applyBorder="0" applyAlignment="0" applyProtection="0"/>
  </cellStyleXfs>
  <cellXfs count="167">
    <xf numFmtId="0" fontId="0" fillId="0" borderId="0" xfId="0"/>
    <xf numFmtId="0" fontId="3" fillId="0" borderId="0" xfId="0" applyFont="1"/>
    <xf numFmtId="0" fontId="2" fillId="4" borderId="3" xfId="3" applyBorder="1">
      <alignment horizontal="center" vertical="center"/>
    </xf>
    <xf numFmtId="0" fontId="3" fillId="0" borderId="0" xfId="0" applyFont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4" fontId="11" fillId="0" borderId="2" xfId="0" applyNumberFormat="1" applyFont="1" applyBorder="1" applyAlignment="1">
      <alignment horizontal="center" vertical="center" wrapText="1"/>
    </xf>
    <xf numFmtId="2" fontId="11" fillId="0" borderId="2" xfId="0" applyNumberFormat="1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2" fontId="11" fillId="0" borderId="0" xfId="0" applyNumberFormat="1" applyFont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14" fontId="11" fillId="0" borderId="8" xfId="0" applyNumberFormat="1" applyFont="1" applyBorder="1" applyAlignment="1">
      <alignment horizontal="center" vertical="center" wrapText="1"/>
    </xf>
    <xf numFmtId="2" fontId="11" fillId="0" borderId="8" xfId="0" applyNumberFormat="1" applyFont="1" applyBorder="1" applyAlignment="1">
      <alignment horizontal="center" vertical="center" wrapText="1"/>
    </xf>
    <xf numFmtId="11" fontId="1" fillId="3" borderId="9" xfId="2" applyNumberFormat="1" applyBorder="1" applyAlignment="1">
      <alignment horizontal="center" vertical="center"/>
    </xf>
    <xf numFmtId="2" fontId="1" fillId="3" borderId="9" xfId="2" applyNumberFormat="1" applyBorder="1" applyAlignment="1">
      <alignment horizontal="center" vertical="center"/>
    </xf>
    <xf numFmtId="2" fontId="1" fillId="3" borderId="10" xfId="2" applyNumberFormat="1" applyBorder="1" applyAlignment="1">
      <alignment horizontal="center" vertical="center"/>
    </xf>
    <xf numFmtId="164" fontId="1" fillId="3" borderId="11" xfId="2" applyNumberFormat="1" applyBorder="1" applyAlignment="1">
      <alignment horizontal="center" vertical="center"/>
    </xf>
    <xf numFmtId="164" fontId="1" fillId="8" borderId="11" xfId="23" applyNumberFormat="1" applyBorder="1" applyAlignment="1">
      <alignment horizontal="center" vertical="center"/>
    </xf>
    <xf numFmtId="11" fontId="1" fillId="8" borderId="9" xfId="23" applyNumberFormat="1" applyBorder="1" applyAlignment="1">
      <alignment horizontal="center" vertical="center"/>
    </xf>
    <xf numFmtId="2" fontId="1" fillId="8" borderId="9" xfId="23" applyNumberFormat="1" applyBorder="1" applyAlignment="1">
      <alignment horizontal="center" vertical="center"/>
    </xf>
    <xf numFmtId="165" fontId="1" fillId="3" borderId="10" xfId="2" applyNumberFormat="1" applyBorder="1" applyAlignment="1">
      <alignment horizontal="center" vertical="center"/>
    </xf>
    <xf numFmtId="165" fontId="1" fillId="8" borderId="10" xfId="23" applyNumberFormat="1" applyBorder="1" applyAlignment="1">
      <alignment horizontal="center" vertical="center"/>
    </xf>
    <xf numFmtId="0" fontId="4" fillId="2" borderId="12" xfId="1" applyBorder="1" applyAlignment="1">
      <alignment horizontal="center" vertical="center"/>
    </xf>
    <xf numFmtId="0" fontId="4" fillId="2" borderId="13" xfId="1" applyBorder="1" applyAlignment="1">
      <alignment horizontal="center" vertical="center"/>
    </xf>
    <xf numFmtId="0" fontId="4" fillId="2" borderId="14" xfId="1" applyBorder="1" applyAlignment="1">
      <alignment horizontal="center" vertical="center"/>
    </xf>
    <xf numFmtId="11" fontId="1" fillId="3" borderId="15" xfId="2" applyNumberFormat="1" applyBorder="1" applyAlignment="1">
      <alignment horizontal="center" vertical="center"/>
    </xf>
    <xf numFmtId="2" fontId="1" fillId="3" borderId="15" xfId="2" applyNumberFormat="1" applyBorder="1" applyAlignment="1">
      <alignment horizontal="center" vertical="center"/>
    </xf>
    <xf numFmtId="11" fontId="1" fillId="3" borderId="16" xfId="2" applyNumberFormat="1" applyBorder="1" applyAlignment="1">
      <alignment horizontal="center" vertical="center"/>
    </xf>
    <xf numFmtId="2" fontId="1" fillId="3" borderId="16" xfId="2" applyNumberFormat="1" applyBorder="1" applyAlignment="1">
      <alignment horizontal="center" vertical="center"/>
    </xf>
    <xf numFmtId="11" fontId="1" fillId="3" borderId="17" xfId="2" applyNumberFormat="1" applyBorder="1" applyAlignment="1">
      <alignment horizontal="center" vertical="center"/>
    </xf>
    <xf numFmtId="165" fontId="1" fillId="3" borderId="18" xfId="2" applyNumberFormat="1" applyBorder="1" applyAlignment="1">
      <alignment horizontal="center" vertical="center"/>
    </xf>
    <xf numFmtId="165" fontId="1" fillId="3" borderId="19" xfId="2" applyNumberFormat="1" applyBorder="1" applyAlignment="1">
      <alignment horizontal="center" vertical="center"/>
    </xf>
    <xf numFmtId="2" fontId="1" fillId="3" borderId="19" xfId="2" applyNumberFormat="1" applyBorder="1" applyAlignment="1">
      <alignment horizontal="center" vertical="center"/>
    </xf>
    <xf numFmtId="164" fontId="1" fillId="3" borderId="21" xfId="2" applyNumberFormat="1" applyBorder="1" applyAlignment="1">
      <alignment horizontal="center" vertical="center"/>
    </xf>
    <xf numFmtId="164" fontId="1" fillId="3" borderId="22" xfId="2" applyNumberFormat="1" applyBorder="1" applyAlignment="1">
      <alignment horizontal="center" vertical="center"/>
    </xf>
    <xf numFmtId="164" fontId="1" fillId="3" borderId="23" xfId="2" applyNumberFormat="1" applyBorder="1" applyAlignment="1">
      <alignment horizontal="center" vertical="center"/>
    </xf>
    <xf numFmtId="0" fontId="4" fillId="7" borderId="14" xfId="22" applyBorder="1" applyAlignment="1">
      <alignment horizontal="center" vertical="center"/>
    </xf>
    <xf numFmtId="0" fontId="4" fillId="7" borderId="12" xfId="22" applyBorder="1" applyAlignment="1">
      <alignment horizontal="center" vertical="center"/>
    </xf>
    <xf numFmtId="0" fontId="4" fillId="7" borderId="13" xfId="22" applyBorder="1" applyAlignment="1">
      <alignment horizontal="center" vertical="center"/>
    </xf>
    <xf numFmtId="11" fontId="1" fillId="8" borderId="15" xfId="23" applyNumberFormat="1" applyBorder="1" applyAlignment="1">
      <alignment horizontal="center" vertical="center"/>
    </xf>
    <xf numFmtId="2" fontId="1" fillId="8" borderId="15" xfId="23" applyNumberFormat="1" applyBorder="1" applyAlignment="1">
      <alignment horizontal="center" vertical="center"/>
    </xf>
    <xf numFmtId="0" fontId="1" fillId="8" borderId="15" xfId="23" applyBorder="1"/>
    <xf numFmtId="164" fontId="1" fillId="8" borderId="21" xfId="23" applyNumberFormat="1" applyBorder="1" applyAlignment="1">
      <alignment horizontal="center" vertical="center"/>
    </xf>
    <xf numFmtId="11" fontId="1" fillId="8" borderId="16" xfId="23" applyNumberFormat="1" applyBorder="1" applyAlignment="1">
      <alignment horizontal="center" vertical="center"/>
    </xf>
    <xf numFmtId="2" fontId="1" fillId="8" borderId="16" xfId="23" applyNumberFormat="1" applyBorder="1" applyAlignment="1">
      <alignment horizontal="center" vertical="center"/>
    </xf>
    <xf numFmtId="164" fontId="1" fillId="8" borderId="22" xfId="23" applyNumberFormat="1" applyBorder="1" applyAlignment="1">
      <alignment horizontal="center" vertical="center"/>
    </xf>
    <xf numFmtId="0" fontId="1" fillId="8" borderId="22" xfId="23" applyBorder="1"/>
    <xf numFmtId="11" fontId="1" fillId="8" borderId="17" xfId="23" applyNumberFormat="1" applyBorder="1" applyAlignment="1">
      <alignment horizontal="center" vertical="center"/>
    </xf>
    <xf numFmtId="165" fontId="1" fillId="8" borderId="18" xfId="23" applyNumberFormat="1" applyBorder="1" applyAlignment="1">
      <alignment horizontal="center" vertical="center"/>
    </xf>
    <xf numFmtId="165" fontId="1" fillId="8" borderId="19" xfId="23" applyNumberFormat="1" applyBorder="1" applyAlignment="1">
      <alignment horizontal="center" vertical="center"/>
    </xf>
    <xf numFmtId="0" fontId="1" fillId="8" borderId="19" xfId="23" applyBorder="1"/>
    <xf numFmtId="165" fontId="1" fillId="8" borderId="20" xfId="23" applyNumberFormat="1" applyBorder="1" applyAlignment="1">
      <alignment horizontal="center" vertical="center"/>
    </xf>
    <xf numFmtId="166" fontId="1" fillId="8" borderId="19" xfId="23" applyNumberFormat="1" applyBorder="1" applyAlignment="1">
      <alignment horizontal="center" vertical="center"/>
    </xf>
    <xf numFmtId="2" fontId="1" fillId="3" borderId="18" xfId="2" applyNumberFormat="1" applyBorder="1" applyAlignment="1">
      <alignment horizontal="center" vertical="center"/>
    </xf>
    <xf numFmtId="0" fontId="1" fillId="3" borderId="15" xfId="2" applyBorder="1"/>
    <xf numFmtId="0" fontId="1" fillId="3" borderId="22" xfId="2" applyBorder="1"/>
    <xf numFmtId="0" fontId="1" fillId="3" borderId="19" xfId="2" applyBorder="1"/>
    <xf numFmtId="164" fontId="1" fillId="3" borderId="24" xfId="2" applyNumberFormat="1" applyBorder="1" applyAlignment="1">
      <alignment horizontal="center" vertical="center"/>
    </xf>
    <xf numFmtId="11" fontId="1" fillId="3" borderId="25" xfId="2" applyNumberFormat="1" applyBorder="1" applyAlignment="1">
      <alignment horizontal="center" vertical="center"/>
    </xf>
    <xf numFmtId="2" fontId="1" fillId="3" borderId="25" xfId="2" applyNumberFormat="1" applyBorder="1" applyAlignment="1">
      <alignment horizontal="center" vertical="center"/>
    </xf>
    <xf numFmtId="165" fontId="1" fillId="3" borderId="26" xfId="2" applyNumberFormat="1" applyBorder="1" applyAlignment="1">
      <alignment horizontal="center" vertical="center"/>
    </xf>
    <xf numFmtId="164" fontId="1" fillId="8" borderId="24" xfId="23" applyNumberFormat="1" applyBorder="1" applyAlignment="1">
      <alignment horizontal="center" vertical="center"/>
    </xf>
    <xf numFmtId="11" fontId="1" fillId="8" borderId="25" xfId="23" applyNumberFormat="1" applyBorder="1" applyAlignment="1">
      <alignment horizontal="center" vertical="center"/>
    </xf>
    <xf numFmtId="2" fontId="1" fillId="8" borderId="25" xfId="23" applyNumberFormat="1" applyBorder="1" applyAlignment="1">
      <alignment horizontal="center" vertical="center"/>
    </xf>
    <xf numFmtId="165" fontId="1" fillId="8" borderId="26" xfId="23" applyNumberFormat="1" applyBorder="1" applyAlignment="1">
      <alignment horizontal="center" vertical="center"/>
    </xf>
    <xf numFmtId="2" fontId="1" fillId="3" borderId="26" xfId="2" applyNumberFormat="1" applyBorder="1" applyAlignment="1">
      <alignment horizontal="center" vertical="center"/>
    </xf>
    <xf numFmtId="11" fontId="1" fillId="3" borderId="27" xfId="2" applyNumberFormat="1" applyBorder="1" applyAlignment="1">
      <alignment horizontal="center" vertical="center"/>
    </xf>
    <xf numFmtId="11" fontId="1" fillId="3" borderId="3" xfId="2" applyNumberFormat="1" applyBorder="1" applyAlignment="1">
      <alignment horizontal="center" vertical="center"/>
    </xf>
    <xf numFmtId="11" fontId="1" fillId="3" borderId="28" xfId="2" applyNumberFormat="1" applyBorder="1" applyAlignment="1">
      <alignment horizontal="center" vertical="center"/>
    </xf>
    <xf numFmtId="2" fontId="1" fillId="3" borderId="29" xfId="2" applyNumberFormat="1" applyBorder="1" applyAlignment="1">
      <alignment horizontal="center" vertical="center"/>
    </xf>
    <xf numFmtId="2" fontId="1" fillId="3" borderId="30" xfId="2" applyNumberFormat="1" applyBorder="1" applyAlignment="1">
      <alignment horizontal="center" vertical="center"/>
    </xf>
    <xf numFmtId="2" fontId="1" fillId="3" borderId="31" xfId="2" applyNumberFormat="1" applyBorder="1" applyAlignment="1">
      <alignment horizontal="center" vertical="center"/>
    </xf>
    <xf numFmtId="0" fontId="4" fillId="2" borderId="32" xfId="1" applyBorder="1" applyAlignment="1">
      <alignment horizontal="center" vertical="center"/>
    </xf>
    <xf numFmtId="0" fontId="4" fillId="2" borderId="33" xfId="1" applyBorder="1" applyAlignment="1">
      <alignment horizontal="center" vertical="center"/>
    </xf>
    <xf numFmtId="0" fontId="4" fillId="2" borderId="34" xfId="1" applyBorder="1" applyAlignment="1">
      <alignment horizontal="center" vertical="center"/>
    </xf>
    <xf numFmtId="0" fontId="4" fillId="7" borderId="32" xfId="22" applyBorder="1" applyAlignment="1">
      <alignment horizontal="center" vertical="center"/>
    </xf>
    <xf numFmtId="0" fontId="4" fillId="7" borderId="33" xfId="22" applyBorder="1" applyAlignment="1">
      <alignment horizontal="center" vertical="center"/>
    </xf>
    <xf numFmtId="0" fontId="4" fillId="7" borderId="34" xfId="22" applyBorder="1" applyAlignment="1">
      <alignment horizontal="center" vertical="center"/>
    </xf>
    <xf numFmtId="11" fontId="1" fillId="3" borderId="35" xfId="2" applyNumberFormat="1" applyBorder="1" applyAlignment="1">
      <alignment horizontal="center" vertical="center"/>
    </xf>
    <xf numFmtId="165" fontId="1" fillId="3" borderId="15" xfId="2" applyNumberFormat="1" applyBorder="1" applyAlignment="1">
      <alignment horizontal="center" vertical="center"/>
    </xf>
    <xf numFmtId="164" fontId="1" fillId="8" borderId="15" xfId="23" applyNumberFormat="1" applyBorder="1" applyAlignment="1">
      <alignment horizontal="center" vertical="center"/>
    </xf>
    <xf numFmtId="11" fontId="0" fillId="0" borderId="0" xfId="0" applyNumberFormat="1"/>
    <xf numFmtId="0" fontId="4" fillId="7" borderId="36" xfId="22" applyBorder="1" applyAlignment="1">
      <alignment horizontal="center" vertical="center"/>
    </xf>
    <xf numFmtId="0" fontId="4" fillId="7" borderId="37" xfId="22" applyBorder="1" applyAlignment="1">
      <alignment horizontal="center" vertical="center"/>
    </xf>
    <xf numFmtId="165" fontId="1" fillId="3" borderId="25" xfId="2" applyNumberFormat="1" applyBorder="1" applyAlignment="1">
      <alignment horizontal="center" vertical="center"/>
    </xf>
    <xf numFmtId="164" fontId="1" fillId="8" borderId="25" xfId="23" applyNumberFormat="1" applyBorder="1" applyAlignment="1">
      <alignment horizontal="center" vertical="center"/>
    </xf>
    <xf numFmtId="165" fontId="1" fillId="3" borderId="16" xfId="2" applyNumberFormat="1" applyBorder="1" applyAlignment="1">
      <alignment horizontal="center" vertical="center"/>
    </xf>
    <xf numFmtId="164" fontId="1" fillId="8" borderId="16" xfId="23" applyNumberFormat="1" applyBorder="1" applyAlignment="1">
      <alignment horizontal="center" vertical="center"/>
    </xf>
    <xf numFmtId="165" fontId="1" fillId="3" borderId="17" xfId="2" applyNumberFormat="1" applyBorder="1" applyAlignment="1">
      <alignment horizontal="center" vertical="center"/>
    </xf>
    <xf numFmtId="164" fontId="1" fillId="8" borderId="17" xfId="23" applyNumberFormat="1" applyBorder="1" applyAlignment="1">
      <alignment horizontal="center" vertical="center"/>
    </xf>
    <xf numFmtId="0" fontId="4" fillId="2" borderId="25" xfId="1" applyBorder="1" applyAlignment="1">
      <alignment horizontal="center" vertical="center"/>
    </xf>
    <xf numFmtId="11" fontId="1" fillId="3" borderId="15" xfId="2" applyNumberFormat="1" applyBorder="1"/>
    <xf numFmtId="0" fontId="7" fillId="6" borderId="15" xfId="21" applyBorder="1">
      <alignment horizontal="center" vertical="center"/>
    </xf>
    <xf numFmtId="0" fontId="2" fillId="4" borderId="25" xfId="3" applyBorder="1">
      <alignment horizontal="center" vertical="center"/>
    </xf>
    <xf numFmtId="0" fontId="7" fillId="6" borderId="35" xfId="21" applyBorder="1">
      <alignment horizontal="center" vertical="center"/>
    </xf>
    <xf numFmtId="11" fontId="1" fillId="3" borderId="35" xfId="2" applyNumberFormat="1" applyBorder="1"/>
    <xf numFmtId="0" fontId="1" fillId="3" borderId="35" xfId="2" applyBorder="1"/>
    <xf numFmtId="0" fontId="7" fillId="6" borderId="16" xfId="21" applyBorder="1">
      <alignment horizontal="center" vertical="center"/>
    </xf>
    <xf numFmtId="11" fontId="1" fillId="3" borderId="16" xfId="2" applyNumberFormat="1" applyBorder="1"/>
    <xf numFmtId="0" fontId="1" fillId="3" borderId="16" xfId="2" applyBorder="1"/>
    <xf numFmtId="11" fontId="1" fillId="3" borderId="18" xfId="2" applyNumberFormat="1" applyBorder="1"/>
    <xf numFmtId="0" fontId="7" fillId="6" borderId="17" xfId="21" applyBorder="1">
      <alignment horizontal="center" vertical="center"/>
    </xf>
    <xf numFmtId="11" fontId="1" fillId="3" borderId="17" xfId="2" applyNumberFormat="1" applyBorder="1"/>
    <xf numFmtId="0" fontId="1" fillId="3" borderId="17" xfId="2" applyBorder="1"/>
    <xf numFmtId="11" fontId="1" fillId="3" borderId="20" xfId="2" applyNumberFormat="1" applyBorder="1"/>
    <xf numFmtId="165" fontId="0" fillId="0" borderId="0" xfId="0" applyNumberFormat="1"/>
    <xf numFmtId="11" fontId="1" fillId="9" borderId="16" xfId="2" applyNumberFormat="1" applyFill="1" applyBorder="1" applyAlignment="1">
      <alignment horizontal="center" vertical="center"/>
    </xf>
    <xf numFmtId="11" fontId="1" fillId="9" borderId="15" xfId="2" applyNumberFormat="1" applyFill="1" applyBorder="1" applyAlignment="1">
      <alignment horizontal="center" vertical="center"/>
    </xf>
    <xf numFmtId="0" fontId="1" fillId="9" borderId="15" xfId="23" applyFill="1" applyBorder="1"/>
    <xf numFmtId="11" fontId="1" fillId="9" borderId="25" xfId="2" applyNumberForma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2" fillId="4" borderId="39" xfId="3" applyBorder="1">
      <alignment horizontal="center" vertical="center"/>
    </xf>
    <xf numFmtId="0" fontId="2" fillId="4" borderId="40" xfId="3" applyBorder="1">
      <alignment horizontal="center" vertical="center"/>
    </xf>
    <xf numFmtId="0" fontId="2" fillId="4" borderId="0" xfId="3" applyBorder="1">
      <alignment horizontal="center" vertical="center"/>
    </xf>
    <xf numFmtId="0" fontId="16" fillId="10" borderId="41" xfId="0" applyFont="1" applyFill="1" applyBorder="1" applyAlignment="1">
      <alignment horizontal="center" vertical="center"/>
    </xf>
    <xf numFmtId="0" fontId="16" fillId="10" borderId="42" xfId="0" applyFont="1" applyFill="1" applyBorder="1" applyAlignment="1">
      <alignment horizontal="center" vertical="center"/>
    </xf>
    <xf numFmtId="0" fontId="16" fillId="10" borderId="43" xfId="0" applyFont="1" applyFill="1" applyBorder="1" applyAlignment="1">
      <alignment horizontal="center" vertical="center"/>
    </xf>
    <xf numFmtId="0" fontId="18" fillId="11" borderId="44" xfId="0" applyFont="1" applyFill="1" applyBorder="1" applyAlignment="1">
      <alignment horizontal="center" vertical="center"/>
    </xf>
    <xf numFmtId="0" fontId="19" fillId="11" borderId="45" xfId="0" applyFont="1" applyFill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3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13" fillId="0" borderId="0" xfId="0" applyFont="1" applyAlignment="1">
      <alignment vertical="top" wrapText="1"/>
    </xf>
    <xf numFmtId="0" fontId="13" fillId="0" borderId="47" xfId="0" applyFont="1" applyBorder="1" applyAlignment="1">
      <alignment vertical="top" wrapText="1"/>
    </xf>
    <xf numFmtId="0" fontId="13" fillId="0" borderId="48" xfId="0" applyFont="1" applyBorder="1" applyAlignment="1">
      <alignment vertical="top" wrapText="1"/>
    </xf>
    <xf numFmtId="0" fontId="13" fillId="0" borderId="49" xfId="0" applyFont="1" applyBorder="1" applyAlignment="1">
      <alignment vertical="top" wrapText="1"/>
    </xf>
    <xf numFmtId="0" fontId="14" fillId="0" borderId="50" xfId="0" applyFont="1" applyBorder="1" applyAlignment="1">
      <alignment horizontal="center" vertical="center" wrapText="1"/>
    </xf>
    <xf numFmtId="0" fontId="14" fillId="0" borderId="0" xfId="0" applyFont="1" applyAlignment="1">
      <alignment vertical="top" wrapText="1"/>
    </xf>
    <xf numFmtId="0" fontId="14" fillId="0" borderId="48" xfId="0" applyFont="1" applyBorder="1" applyAlignment="1">
      <alignment vertical="top" wrapText="1"/>
    </xf>
    <xf numFmtId="0" fontId="14" fillId="0" borderId="47" xfId="0" applyFont="1" applyBorder="1" applyAlignment="1">
      <alignment vertical="top" wrapText="1"/>
    </xf>
    <xf numFmtId="0" fontId="14" fillId="0" borderId="49" xfId="0" applyFont="1" applyBorder="1" applyAlignment="1">
      <alignment vertical="top" wrapText="1"/>
    </xf>
    <xf numFmtId="0" fontId="14" fillId="0" borderId="46" xfId="0" applyFont="1" applyBorder="1" applyAlignment="1">
      <alignment horizontal="center" vertical="center" wrapText="1"/>
    </xf>
    <xf numFmtId="0" fontId="19" fillId="11" borderId="0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Border="1" applyAlignment="1">
      <alignment horizontal="center" vertical="center" wrapText="1"/>
    </xf>
    <xf numFmtId="0" fontId="16" fillId="10" borderId="0" xfId="0" applyFont="1" applyFill="1" applyBorder="1" applyAlignment="1">
      <alignment horizontal="center" vertical="center"/>
    </xf>
    <xf numFmtId="0" fontId="13" fillId="0" borderId="47" xfId="0" applyFont="1" applyBorder="1" applyAlignment="1">
      <alignment vertical="top" wrapText="1"/>
    </xf>
    <xf numFmtId="0" fontId="13" fillId="0" borderId="48" xfId="0" applyFont="1" applyBorder="1" applyAlignment="1">
      <alignment vertical="top" wrapText="1"/>
    </xf>
    <xf numFmtId="0" fontId="1" fillId="0" borderId="0" xfId="9"/>
    <xf numFmtId="0" fontId="14" fillId="0" borderId="48" xfId="0" applyFont="1" applyBorder="1" applyAlignment="1">
      <alignment vertical="top" wrapText="1"/>
    </xf>
    <xf numFmtId="0" fontId="1" fillId="0" borderId="0" xfId="15"/>
    <xf numFmtId="0" fontId="1" fillId="0" borderId="0" xfId="15" applyAlignment="1"/>
    <xf numFmtId="0" fontId="14" fillId="0" borderId="50" xfId="0" applyFont="1" applyBorder="1" applyAlignment="1">
      <alignment horizontal="center" vertical="center" wrapText="1"/>
    </xf>
    <xf numFmtId="0" fontId="14" fillId="0" borderId="49" xfId="0" applyFont="1" applyBorder="1" applyAlignment="1">
      <alignment vertical="top" wrapText="1"/>
    </xf>
    <xf numFmtId="0" fontId="14" fillId="0" borderId="47" xfId="0" applyFont="1" applyBorder="1" applyAlignment="1">
      <alignment vertical="top" wrapText="1"/>
    </xf>
    <xf numFmtId="0" fontId="13" fillId="0" borderId="52" xfId="0" applyFont="1" applyBorder="1" applyAlignment="1">
      <alignment vertical="top" wrapText="1"/>
    </xf>
    <xf numFmtId="0" fontId="13" fillId="0" borderId="51" xfId="0" applyFont="1" applyBorder="1" applyAlignment="1">
      <alignment vertical="top" wrapText="1"/>
    </xf>
    <xf numFmtId="0" fontId="19" fillId="11" borderId="0" xfId="0" quotePrefix="1" applyFont="1" applyFill="1" applyBorder="1" applyAlignment="1">
      <alignment horizontal="center" vertical="center"/>
    </xf>
    <xf numFmtId="0" fontId="20" fillId="10" borderId="53" xfId="0" applyFont="1" applyFill="1" applyBorder="1" applyAlignment="1">
      <alignment horizontal="center" vertical="center" wrapText="1"/>
    </xf>
    <xf numFmtId="0" fontId="20" fillId="10" borderId="54" xfId="0" applyFont="1" applyFill="1" applyBorder="1" applyAlignment="1">
      <alignment horizontal="center" vertical="center" wrapText="1"/>
    </xf>
    <xf numFmtId="0" fontId="24" fillId="4" borderId="56" xfId="0" applyFont="1" applyFill="1" applyBorder="1" applyAlignment="1">
      <alignment horizontal="center" vertical="center" wrapText="1"/>
    </xf>
    <xf numFmtId="0" fontId="22" fillId="10" borderId="53" xfId="0" applyFont="1" applyFill="1" applyBorder="1" applyAlignment="1">
      <alignment vertical="center" wrapText="1"/>
    </xf>
    <xf numFmtId="0" fontId="23" fillId="11" borderId="53" xfId="0" applyFont="1" applyFill="1" applyBorder="1" applyAlignment="1">
      <alignment vertical="center" wrapText="1"/>
    </xf>
    <xf numFmtId="0" fontId="23" fillId="12" borderId="53" xfId="0" applyFont="1" applyFill="1" applyBorder="1" applyAlignment="1">
      <alignment vertical="center" wrapText="1"/>
    </xf>
    <xf numFmtId="0" fontId="24" fillId="4" borderId="55" xfId="0" applyFont="1" applyFill="1" applyBorder="1" applyAlignment="1">
      <alignment vertical="center" wrapText="1"/>
    </xf>
    <xf numFmtId="0" fontId="25" fillId="10" borderId="57" xfId="0" applyFont="1" applyFill="1" applyBorder="1" applyAlignment="1">
      <alignment horizontal="center" vertical="center" wrapText="1"/>
    </xf>
    <xf numFmtId="0" fontId="25" fillId="10" borderId="56" xfId="0" applyFont="1" applyFill="1" applyBorder="1" applyAlignment="1">
      <alignment horizontal="center" vertical="center" wrapText="1"/>
    </xf>
  </cellXfs>
  <cellStyles count="24">
    <cellStyle name="20% - Énfasis1" xfId="23" builtinId="30"/>
    <cellStyle name="20% - Énfasis5" xfId="2" builtinId="46"/>
    <cellStyle name="Calc_NAME" xfId="3" xr:uid="{4D38C95C-35B6-4189-A9D9-C708F32F4C13}"/>
    <cellStyle name="Énfasis1" xfId="22" builtinId="29"/>
    <cellStyle name="Énfasis5" xfId="1" builtinId="45"/>
    <cellStyle name="Millares 2" xfId="4" xr:uid="{741CFBF6-1B6A-4AED-8C3E-1EB5B6BCCA55}"/>
    <cellStyle name="Millares 3" xfId="5" xr:uid="{669DAF33-F290-4097-A085-34F45F8564B3}"/>
    <cellStyle name="Millares 4" xfId="6" xr:uid="{861C8D3E-EF00-4D89-A47F-323E6B1F7279}"/>
    <cellStyle name="Millares 5" xfId="7" xr:uid="{C859A020-44CC-42E8-8925-E8C1FDF82C6A}"/>
    <cellStyle name="Millares 6" xfId="8" xr:uid="{6A32972F-144C-43B5-9556-68972631C85D}"/>
    <cellStyle name="Normal" xfId="0" builtinId="0"/>
    <cellStyle name="Normal 10" xfId="9" xr:uid="{F9CFCCFA-4352-4365-92C4-1EB34C24B427}"/>
    <cellStyle name="Normal 11" xfId="10" xr:uid="{8B3E0661-ACC5-4853-9A49-51EBE74D8B57}"/>
    <cellStyle name="Normal 12" xfId="11" xr:uid="{A72EEACA-230E-43BB-9C8C-7D044544389F}"/>
    <cellStyle name="Normal 2" xfId="12" xr:uid="{AF67F577-1735-480E-BD3E-B944AFB21D77}"/>
    <cellStyle name="Normal 3" xfId="13" xr:uid="{66AEAF2F-B4D4-4F12-9F42-94C37B54DD9B}"/>
    <cellStyle name="Normal 4" xfId="14" xr:uid="{F31E3D1D-F89C-4CC9-9090-354724854D40}"/>
    <cellStyle name="Normal 5" xfId="15" xr:uid="{0E39DFA4-8C0C-42A0-82C6-911071D0333A}"/>
    <cellStyle name="Normal 6" xfId="16" xr:uid="{0C2473DD-5DD3-4829-9878-AF22F23776A0}"/>
    <cellStyle name="Normal 7" xfId="17" xr:uid="{BDF0775F-A58C-4774-A161-988F03DD3CA1}"/>
    <cellStyle name="Normal 8" xfId="18" xr:uid="{C26DAB54-4C0D-4F02-8FA8-B825109BB6E9}"/>
    <cellStyle name="Normal 9" xfId="19" xr:uid="{80DCAEE3-1F54-426F-B139-C8A9DD806180}"/>
    <cellStyle name="Param_NAME" xfId="20" xr:uid="{DE193D27-8BBE-4447-835A-74141B8C7F36}"/>
    <cellStyle name="Spec_NAME" xfId="21" xr:uid="{9C42B6B1-E1C3-4E71-91D9-BB6999B87F4D}"/>
  </cellStyles>
  <dxfs count="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A_04_1_M_cat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Hoja1!$B$3:$B$15</c:f>
              <c:numCache>
                <c:formatCode>General</c:formatCode>
                <c:ptCount val="13"/>
                <c:pt idx="0">
                  <c:v>0</c:v>
                </c:pt>
                <c:pt idx="1">
                  <c:v>836</c:v>
                </c:pt>
                <c:pt idx="2">
                  <c:v>2319</c:v>
                </c:pt>
                <c:pt idx="3">
                  <c:v>3899</c:v>
                </c:pt>
                <c:pt idx="4">
                  <c:v>5461</c:v>
                </c:pt>
                <c:pt idx="5">
                  <c:v>6629</c:v>
                </c:pt>
                <c:pt idx="6">
                  <c:v>8111</c:v>
                </c:pt>
                <c:pt idx="7">
                  <c:v>9315</c:v>
                </c:pt>
                <c:pt idx="8">
                  <c:v>10546</c:v>
                </c:pt>
                <c:pt idx="9">
                  <c:v>11406</c:v>
                </c:pt>
                <c:pt idx="10">
                  <c:v>11995</c:v>
                </c:pt>
                <c:pt idx="11">
                  <c:v>12054</c:v>
                </c:pt>
                <c:pt idx="12">
                  <c:v>13314</c:v>
                </c:pt>
              </c:numCache>
            </c:numRef>
          </c:xVal>
          <c:yVal>
            <c:numRef>
              <c:f>Hoja1!$F$3:$F$15</c:f>
              <c:numCache>
                <c:formatCode>General</c:formatCode>
                <c:ptCount val="13"/>
                <c:pt idx="0">
                  <c:v>1</c:v>
                </c:pt>
                <c:pt idx="1">
                  <c:v>0.99259259259259258</c:v>
                </c:pt>
                <c:pt idx="2">
                  <c:v>0.87407407407407411</c:v>
                </c:pt>
                <c:pt idx="3">
                  <c:v>0.73333333333333339</c:v>
                </c:pt>
                <c:pt idx="4">
                  <c:v>0.64444444444444449</c:v>
                </c:pt>
                <c:pt idx="5">
                  <c:v>0.5679012345679012</c:v>
                </c:pt>
                <c:pt idx="6">
                  <c:v>0.47901234567901235</c:v>
                </c:pt>
                <c:pt idx="7">
                  <c:v>0.41975308641975312</c:v>
                </c:pt>
                <c:pt idx="8">
                  <c:v>0.34320987654320989</c:v>
                </c:pt>
                <c:pt idx="9">
                  <c:v>0.29135802469135802</c:v>
                </c:pt>
                <c:pt idx="10">
                  <c:v>0.25679012345679014</c:v>
                </c:pt>
                <c:pt idx="11">
                  <c:v>0.25432098765432098</c:v>
                </c:pt>
                <c:pt idx="12">
                  <c:v>0.19259259259259262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2-4934-9D3D-F2788B3D2751}"/>
            </c:ext>
          </c:extLst>
        </c:ser>
        <c:ser>
          <c:idx val="1"/>
          <c:order val="1"/>
          <c:tx>
            <c:v>A_06_1_M_cat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(Hoja1!$H$3,Hoja1!$H$5:$H$11)</c:f>
              <c:numCache>
                <c:formatCode>General</c:formatCode>
                <c:ptCount val="8"/>
                <c:pt idx="0">
                  <c:v>0</c:v>
                </c:pt>
                <c:pt idx="1">
                  <c:v>1848</c:v>
                </c:pt>
                <c:pt idx="2">
                  <c:v>2525</c:v>
                </c:pt>
                <c:pt idx="3">
                  <c:v>3430</c:v>
                </c:pt>
                <c:pt idx="4">
                  <c:v>4333</c:v>
                </c:pt>
                <c:pt idx="5">
                  <c:v>5124</c:v>
                </c:pt>
                <c:pt idx="6">
                  <c:v>5673</c:v>
                </c:pt>
                <c:pt idx="7">
                  <c:v>6026</c:v>
                </c:pt>
              </c:numCache>
            </c:numRef>
          </c:xVal>
          <c:yVal>
            <c:numRef>
              <c:f>(Hoja1!$L$3,Hoja1!$L$5:$L$11)</c:f>
              <c:numCache>
                <c:formatCode>General</c:formatCode>
                <c:ptCount val="8"/>
                <c:pt idx="0">
                  <c:v>1</c:v>
                </c:pt>
                <c:pt idx="1">
                  <c:v>0.86356073211314488</c:v>
                </c:pt>
                <c:pt idx="2">
                  <c:v>0.82529118136439272</c:v>
                </c:pt>
                <c:pt idx="3">
                  <c:v>0.73710482529118138</c:v>
                </c:pt>
                <c:pt idx="4">
                  <c:v>0.71547420965058239</c:v>
                </c:pt>
                <c:pt idx="5">
                  <c:v>0.6672212978369384</c:v>
                </c:pt>
                <c:pt idx="6">
                  <c:v>0.62895174708818635</c:v>
                </c:pt>
                <c:pt idx="7">
                  <c:v>0.60232945091514145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E2-4934-9D3D-F2788B3D2751}"/>
            </c:ext>
          </c:extLst>
        </c:ser>
        <c:ser>
          <c:idx val="2"/>
          <c:order val="2"/>
          <c:tx>
            <c:v>A_10_1_M_cat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Hoja1!$N$3:$N$7</c:f>
              <c:numCache>
                <c:formatCode>General</c:formatCode>
                <c:ptCount val="5"/>
                <c:pt idx="0">
                  <c:v>0</c:v>
                </c:pt>
                <c:pt idx="1">
                  <c:v>1331</c:v>
                </c:pt>
                <c:pt idx="2">
                  <c:v>2119</c:v>
                </c:pt>
                <c:pt idx="3">
                  <c:v>2686</c:v>
                </c:pt>
                <c:pt idx="4">
                  <c:v>3255</c:v>
                </c:pt>
              </c:numCache>
            </c:numRef>
          </c:xVal>
          <c:yVal>
            <c:numRef>
              <c:f>Hoja1!$Q$3:$Q$7</c:f>
              <c:numCache>
                <c:formatCode>General</c:formatCode>
                <c:ptCount val="5"/>
                <c:pt idx="0">
                  <c:v>1</c:v>
                </c:pt>
                <c:pt idx="1">
                  <c:v>0.93484698914116482</c:v>
                </c:pt>
                <c:pt idx="2">
                  <c:v>0.87462981243830196</c:v>
                </c:pt>
                <c:pt idx="3">
                  <c:v>0.86969397828232975</c:v>
                </c:pt>
                <c:pt idx="4">
                  <c:v>0.8469891411648568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E2-4934-9D3D-F2788B3D2751}"/>
            </c:ext>
          </c:extLst>
        </c:ser>
        <c:ser>
          <c:idx val="3"/>
          <c:order val="3"/>
          <c:tx>
            <c:v>A_10_2_M_cat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Hoja1!$S$3:$S$15</c:f>
              <c:numCache>
                <c:formatCode>General</c:formatCode>
                <c:ptCount val="13"/>
                <c:pt idx="0">
                  <c:v>0</c:v>
                </c:pt>
                <c:pt idx="1">
                  <c:v>931</c:v>
                </c:pt>
                <c:pt idx="2">
                  <c:v>1654</c:v>
                </c:pt>
                <c:pt idx="3">
                  <c:v>2492</c:v>
                </c:pt>
                <c:pt idx="4">
                  <c:v>3154</c:v>
                </c:pt>
                <c:pt idx="5">
                  <c:v>4578</c:v>
                </c:pt>
                <c:pt idx="6">
                  <c:v>6216</c:v>
                </c:pt>
                <c:pt idx="7">
                  <c:v>7557</c:v>
                </c:pt>
                <c:pt idx="8">
                  <c:v>9108</c:v>
                </c:pt>
                <c:pt idx="9">
                  <c:v>10362</c:v>
                </c:pt>
                <c:pt idx="10">
                  <c:v>11446</c:v>
                </c:pt>
                <c:pt idx="11">
                  <c:v>12514</c:v>
                </c:pt>
                <c:pt idx="12">
                  <c:v>13323</c:v>
                </c:pt>
              </c:numCache>
            </c:numRef>
          </c:xVal>
          <c:yVal>
            <c:numRef>
              <c:f>Hoja1!$V$3:$V$15</c:f>
              <c:numCache>
                <c:formatCode>General</c:formatCode>
                <c:ptCount val="13"/>
                <c:pt idx="0">
                  <c:v>1</c:v>
                </c:pt>
                <c:pt idx="1">
                  <c:v>0.96198830409356717</c:v>
                </c:pt>
                <c:pt idx="2">
                  <c:v>0.90935672514619881</c:v>
                </c:pt>
                <c:pt idx="3">
                  <c:v>0.87231968810916172</c:v>
                </c:pt>
                <c:pt idx="4">
                  <c:v>0.84307992202729054</c:v>
                </c:pt>
                <c:pt idx="5">
                  <c:v>0.77972709551656927</c:v>
                </c:pt>
                <c:pt idx="6">
                  <c:v>0.72709551656920079</c:v>
                </c:pt>
                <c:pt idx="7">
                  <c:v>0.67056530214424948</c:v>
                </c:pt>
                <c:pt idx="8">
                  <c:v>0.58674463937621835</c:v>
                </c:pt>
                <c:pt idx="9">
                  <c:v>0.55555555555555558</c:v>
                </c:pt>
                <c:pt idx="10">
                  <c:v>0.51169590643274854</c:v>
                </c:pt>
                <c:pt idx="11">
                  <c:v>0.48050682261208577</c:v>
                </c:pt>
                <c:pt idx="12">
                  <c:v>0.44249512670565305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FE2-4934-9D3D-F2788B3D2751}"/>
            </c:ext>
          </c:extLst>
        </c:ser>
        <c:ser>
          <c:idx val="4"/>
          <c:order val="4"/>
          <c:tx>
            <c:v>A_10_3_M_cat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Hoja1!$X$3:$X$17</c:f>
              <c:numCache>
                <c:formatCode>General</c:formatCode>
                <c:ptCount val="15"/>
                <c:pt idx="0">
                  <c:v>0</c:v>
                </c:pt>
                <c:pt idx="1">
                  <c:v>1494</c:v>
                </c:pt>
                <c:pt idx="2">
                  <c:v>2935</c:v>
                </c:pt>
                <c:pt idx="3">
                  <c:v>4355</c:v>
                </c:pt>
                <c:pt idx="4">
                  <c:v>5419</c:v>
                </c:pt>
                <c:pt idx="5">
                  <c:v>6951</c:v>
                </c:pt>
                <c:pt idx="6">
                  <c:v>8800</c:v>
                </c:pt>
                <c:pt idx="7">
                  <c:v>9998</c:v>
                </c:pt>
                <c:pt idx="8">
                  <c:v>11058</c:v>
                </c:pt>
                <c:pt idx="9">
                  <c:v>12551</c:v>
                </c:pt>
                <c:pt idx="10">
                  <c:v>13695</c:v>
                </c:pt>
                <c:pt idx="11">
                  <c:v>14727</c:v>
                </c:pt>
                <c:pt idx="12">
                  <c:v>15721</c:v>
                </c:pt>
                <c:pt idx="13">
                  <c:v>16443</c:v>
                </c:pt>
                <c:pt idx="14">
                  <c:v>17148</c:v>
                </c:pt>
              </c:numCache>
            </c:numRef>
          </c:xVal>
          <c:yVal>
            <c:numRef>
              <c:f>Hoja1!$AA$3:$AA$17</c:f>
              <c:numCache>
                <c:formatCode>General</c:formatCode>
                <c:ptCount val="15"/>
                <c:pt idx="0">
                  <c:v>1</c:v>
                </c:pt>
                <c:pt idx="1">
                  <c:v>0.96039603960396036</c:v>
                </c:pt>
                <c:pt idx="2">
                  <c:v>0.88217821782178218</c:v>
                </c:pt>
                <c:pt idx="3">
                  <c:v>0.81287128712871304</c:v>
                </c:pt>
                <c:pt idx="4">
                  <c:v>0.7495049504950495</c:v>
                </c:pt>
                <c:pt idx="5">
                  <c:v>0.67920792079207926</c:v>
                </c:pt>
                <c:pt idx="6">
                  <c:v>0.60495049504950504</c:v>
                </c:pt>
                <c:pt idx="7">
                  <c:v>0.54059405940594063</c:v>
                </c:pt>
                <c:pt idx="8">
                  <c:v>0.50396039603960396</c:v>
                </c:pt>
                <c:pt idx="9">
                  <c:v>0.43960396039603966</c:v>
                </c:pt>
                <c:pt idx="10">
                  <c:v>0.38613861386138615</c:v>
                </c:pt>
                <c:pt idx="11">
                  <c:v>0.33960396039603963</c:v>
                </c:pt>
                <c:pt idx="12">
                  <c:v>0.30792079207920792</c:v>
                </c:pt>
                <c:pt idx="13">
                  <c:v>0.27623762376237626</c:v>
                </c:pt>
                <c:pt idx="14">
                  <c:v>0.24851485148514851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FE2-4934-9D3D-F2788B3D2751}"/>
            </c:ext>
          </c:extLst>
        </c:ser>
        <c:ser>
          <c:idx val="5"/>
          <c:order val="5"/>
          <c:tx>
            <c:v>A_14_1_M_cat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Hoja1!$AC$3:$AC$12</c:f>
              <c:numCache>
                <c:formatCode>General</c:formatCode>
                <c:ptCount val="10"/>
                <c:pt idx="0">
                  <c:v>0</c:v>
                </c:pt>
                <c:pt idx="1">
                  <c:v>798</c:v>
                </c:pt>
                <c:pt idx="2">
                  <c:v>1774</c:v>
                </c:pt>
                <c:pt idx="3">
                  <c:v>3256</c:v>
                </c:pt>
                <c:pt idx="4">
                  <c:v>5127</c:v>
                </c:pt>
                <c:pt idx="5">
                  <c:v>6518</c:v>
                </c:pt>
                <c:pt idx="6">
                  <c:v>7249</c:v>
                </c:pt>
                <c:pt idx="7">
                  <c:v>8006</c:v>
                </c:pt>
                <c:pt idx="8">
                  <c:v>8389</c:v>
                </c:pt>
                <c:pt idx="9">
                  <c:v>8635</c:v>
                </c:pt>
              </c:numCache>
            </c:numRef>
          </c:xVal>
          <c:yVal>
            <c:numRef>
              <c:f>Hoja1!$AG$3:$AG$12</c:f>
              <c:numCache>
                <c:formatCode>General</c:formatCode>
                <c:ptCount val="10"/>
                <c:pt idx="0">
                  <c:v>1</c:v>
                </c:pt>
                <c:pt idx="1">
                  <c:v>1.0033647375504711</c:v>
                </c:pt>
                <c:pt idx="2">
                  <c:v>0.97981157469717373</c:v>
                </c:pt>
                <c:pt idx="3">
                  <c:v>0.89905787348586808</c:v>
                </c:pt>
                <c:pt idx="4">
                  <c:v>0.81292059219380897</c:v>
                </c:pt>
                <c:pt idx="5">
                  <c:v>0.75100942126514136</c:v>
                </c:pt>
                <c:pt idx="6">
                  <c:v>0.70726783310901753</c:v>
                </c:pt>
                <c:pt idx="7">
                  <c:v>0.66285329744279942</c:v>
                </c:pt>
                <c:pt idx="8">
                  <c:v>0.64266487213997314</c:v>
                </c:pt>
                <c:pt idx="9">
                  <c:v>0.60969044414535667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FE2-4934-9D3D-F2788B3D2751}"/>
            </c:ext>
          </c:extLst>
        </c:ser>
        <c:ser>
          <c:idx val="6"/>
          <c:order val="6"/>
          <c:tx>
            <c:v>A_14_2_M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(Hoja1!$AI$3:$AI$9,Hoja1!$AI$11:$AI$17)</c:f>
              <c:numCache>
                <c:formatCode>General</c:formatCode>
                <c:ptCount val="14"/>
                <c:pt idx="0">
                  <c:v>0</c:v>
                </c:pt>
                <c:pt idx="1">
                  <c:v>1200</c:v>
                </c:pt>
                <c:pt idx="2">
                  <c:v>2147</c:v>
                </c:pt>
                <c:pt idx="3">
                  <c:v>3601</c:v>
                </c:pt>
                <c:pt idx="4">
                  <c:v>5111</c:v>
                </c:pt>
                <c:pt idx="5">
                  <c:v>6290</c:v>
                </c:pt>
                <c:pt idx="6">
                  <c:v>7888</c:v>
                </c:pt>
                <c:pt idx="7">
                  <c:v>9642</c:v>
                </c:pt>
                <c:pt idx="8">
                  <c:v>10239</c:v>
                </c:pt>
                <c:pt idx="9">
                  <c:v>10750</c:v>
                </c:pt>
                <c:pt idx="10">
                  <c:v>11138</c:v>
                </c:pt>
                <c:pt idx="11">
                  <c:v>11897</c:v>
                </c:pt>
                <c:pt idx="12">
                  <c:v>12718</c:v>
                </c:pt>
                <c:pt idx="13">
                  <c:v>13353</c:v>
                </c:pt>
              </c:numCache>
            </c:numRef>
          </c:xVal>
          <c:yVal>
            <c:numRef>
              <c:f>(Hoja1!$AM$3:$AM$9,Hoja1!$AM$11:$AM$17)</c:f>
              <c:numCache>
                <c:formatCode>General</c:formatCode>
                <c:ptCount val="14"/>
                <c:pt idx="0">
                  <c:v>1</c:v>
                </c:pt>
                <c:pt idx="1">
                  <c:v>0.99461641991924632</c:v>
                </c:pt>
                <c:pt idx="2">
                  <c:v>0.95423956931359355</c:v>
                </c:pt>
                <c:pt idx="3">
                  <c:v>0.89502018842530295</c:v>
                </c:pt>
                <c:pt idx="4">
                  <c:v>0.80215343203230149</c:v>
                </c:pt>
                <c:pt idx="5">
                  <c:v>0.77792732166890988</c:v>
                </c:pt>
                <c:pt idx="6">
                  <c:v>0.75504710632570671</c:v>
                </c:pt>
                <c:pt idx="7">
                  <c:v>0.68909825033647376</c:v>
                </c:pt>
                <c:pt idx="8">
                  <c:v>0.6487213997308211</c:v>
                </c:pt>
                <c:pt idx="9">
                  <c:v>0.58546433378196494</c:v>
                </c:pt>
                <c:pt idx="10">
                  <c:v>0.544414535666218</c:v>
                </c:pt>
                <c:pt idx="11">
                  <c:v>0.52018842530282638</c:v>
                </c:pt>
                <c:pt idx="12">
                  <c:v>0.48115746971736206</c:v>
                </c:pt>
                <c:pt idx="13">
                  <c:v>0.44818304172274565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FE2-4934-9D3D-F2788B3D2751}"/>
            </c:ext>
          </c:extLst>
        </c:ser>
        <c:ser>
          <c:idx val="7"/>
          <c:order val="7"/>
          <c:tx>
            <c:v>A_16_1_M_cat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Hoja1!$AO$3:$AO$14</c:f>
              <c:numCache>
                <c:formatCode>General</c:formatCode>
                <c:ptCount val="12"/>
                <c:pt idx="0">
                  <c:v>0</c:v>
                </c:pt>
                <c:pt idx="1">
                  <c:v>801</c:v>
                </c:pt>
                <c:pt idx="2">
                  <c:v>1771</c:v>
                </c:pt>
                <c:pt idx="3">
                  <c:v>2533</c:v>
                </c:pt>
                <c:pt idx="4">
                  <c:v>3531</c:v>
                </c:pt>
                <c:pt idx="5">
                  <c:v>4321</c:v>
                </c:pt>
                <c:pt idx="6">
                  <c:v>5669</c:v>
                </c:pt>
                <c:pt idx="7">
                  <c:v>6790</c:v>
                </c:pt>
                <c:pt idx="8">
                  <c:v>7673</c:v>
                </c:pt>
                <c:pt idx="9">
                  <c:v>8558</c:v>
                </c:pt>
                <c:pt idx="10">
                  <c:v>9178</c:v>
                </c:pt>
                <c:pt idx="11">
                  <c:v>9606</c:v>
                </c:pt>
              </c:numCache>
            </c:numRef>
          </c:xVal>
          <c:yVal>
            <c:numRef>
              <c:f>Hoja1!$AS$3:$AS$14</c:f>
              <c:numCache>
                <c:formatCode>General</c:formatCode>
                <c:ptCount val="12"/>
                <c:pt idx="0">
                  <c:v>1</c:v>
                </c:pt>
                <c:pt idx="1">
                  <c:v>0.98120963006459183</c:v>
                </c:pt>
                <c:pt idx="2">
                  <c:v>0.91837933059307097</c:v>
                </c:pt>
                <c:pt idx="3">
                  <c:v>0.87433940105695829</c:v>
                </c:pt>
                <c:pt idx="4">
                  <c:v>0.83147386964180847</c:v>
                </c:pt>
                <c:pt idx="5">
                  <c:v>0.77334116265413966</c:v>
                </c:pt>
                <c:pt idx="6">
                  <c:v>0.7187316500293599</c:v>
                </c:pt>
                <c:pt idx="7">
                  <c:v>0.6676453317674691</c:v>
                </c:pt>
                <c:pt idx="8">
                  <c:v>0.6124486200822078</c:v>
                </c:pt>
                <c:pt idx="9">
                  <c:v>0.58426306517909565</c:v>
                </c:pt>
                <c:pt idx="10">
                  <c:v>0.55431591309453898</c:v>
                </c:pt>
                <c:pt idx="11">
                  <c:v>0.51849677040516728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FE2-4934-9D3D-F2788B3D2751}"/>
            </c:ext>
          </c:extLst>
        </c:ser>
        <c:ser>
          <c:idx val="8"/>
          <c:order val="8"/>
          <c:tx>
            <c:v>S_02_1_M_cat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Hoja1!$B$21:$B$27</c:f>
              <c:numCache>
                <c:formatCode>General</c:formatCode>
                <c:ptCount val="7"/>
                <c:pt idx="0">
                  <c:v>0</c:v>
                </c:pt>
                <c:pt idx="1">
                  <c:v>2954</c:v>
                </c:pt>
                <c:pt idx="2">
                  <c:v>5864</c:v>
                </c:pt>
                <c:pt idx="3">
                  <c:v>8833</c:v>
                </c:pt>
                <c:pt idx="4">
                  <c:v>11812</c:v>
                </c:pt>
                <c:pt idx="5">
                  <c:v>14872</c:v>
                </c:pt>
                <c:pt idx="6">
                  <c:v>17616</c:v>
                </c:pt>
              </c:numCache>
            </c:numRef>
          </c:xVal>
          <c:yVal>
            <c:numRef>
              <c:f>Hoja1!$F$21:$F$27</c:f>
              <c:numCache>
                <c:formatCode>General</c:formatCode>
                <c:ptCount val="7"/>
                <c:pt idx="0">
                  <c:v>1</c:v>
                </c:pt>
                <c:pt idx="1">
                  <c:v>0.87864077669902918</c:v>
                </c:pt>
                <c:pt idx="2">
                  <c:v>0.73786407766990292</c:v>
                </c:pt>
                <c:pt idx="3">
                  <c:v>0.62621359223300976</c:v>
                </c:pt>
                <c:pt idx="4">
                  <c:v>0.50970873786407767</c:v>
                </c:pt>
                <c:pt idx="5">
                  <c:v>0.41262135922330095</c:v>
                </c:pt>
                <c:pt idx="6">
                  <c:v>0.33495145631067957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E2-4934-9D3D-F2788B3D2751}"/>
            </c:ext>
          </c:extLst>
        </c:ser>
        <c:ser>
          <c:idx val="9"/>
          <c:order val="9"/>
          <c:tx>
            <c:v>S_04_1_M_cat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Hoja1!$H$21:$H$31</c:f>
              <c:numCache>
                <c:formatCode>General</c:formatCode>
                <c:ptCount val="11"/>
                <c:pt idx="0">
                  <c:v>0</c:v>
                </c:pt>
                <c:pt idx="1">
                  <c:v>1912</c:v>
                </c:pt>
                <c:pt idx="2">
                  <c:v>4161</c:v>
                </c:pt>
                <c:pt idx="3">
                  <c:v>6798</c:v>
                </c:pt>
                <c:pt idx="4">
                  <c:v>9635</c:v>
                </c:pt>
                <c:pt idx="5">
                  <c:v>12568</c:v>
                </c:pt>
                <c:pt idx="6">
                  <c:v>15117</c:v>
                </c:pt>
                <c:pt idx="7">
                  <c:v>18126</c:v>
                </c:pt>
                <c:pt idx="8">
                  <c:v>21751</c:v>
                </c:pt>
                <c:pt idx="9">
                  <c:v>24393</c:v>
                </c:pt>
                <c:pt idx="10">
                  <c:v>26914</c:v>
                </c:pt>
              </c:numCache>
            </c:numRef>
          </c:xVal>
          <c:yVal>
            <c:numRef>
              <c:f>Hoja1!$L$21:$L$31</c:f>
              <c:numCache>
                <c:formatCode>General</c:formatCode>
                <c:ptCount val="11"/>
                <c:pt idx="0">
                  <c:v>1</c:v>
                </c:pt>
                <c:pt idx="1">
                  <c:v>0.92344497607655507</c:v>
                </c:pt>
                <c:pt idx="2">
                  <c:v>0.83253588516746413</c:v>
                </c:pt>
                <c:pt idx="3">
                  <c:v>0.74641148325358864</c:v>
                </c:pt>
                <c:pt idx="4">
                  <c:v>0.66028708133971292</c:v>
                </c:pt>
                <c:pt idx="5">
                  <c:v>0.57655502392344504</c:v>
                </c:pt>
                <c:pt idx="6">
                  <c:v>0.5143540669856459</c:v>
                </c:pt>
                <c:pt idx="7">
                  <c:v>0.4425837320574163</c:v>
                </c:pt>
                <c:pt idx="8">
                  <c:v>0.3923444976076555</c:v>
                </c:pt>
                <c:pt idx="9">
                  <c:v>0.32535885167464118</c:v>
                </c:pt>
                <c:pt idx="10">
                  <c:v>0.30382775119617228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E2-4934-9D3D-F2788B3D2751}"/>
            </c:ext>
          </c:extLst>
        </c:ser>
        <c:ser>
          <c:idx val="10"/>
          <c:order val="10"/>
          <c:tx>
            <c:v>S_05_1_M_cat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Hoja1!$N$21:$N$30</c:f>
              <c:numCache>
                <c:formatCode>General</c:formatCode>
                <c:ptCount val="10"/>
                <c:pt idx="0">
                  <c:v>0</c:v>
                </c:pt>
                <c:pt idx="1">
                  <c:v>2446</c:v>
                </c:pt>
                <c:pt idx="2">
                  <c:v>5055</c:v>
                </c:pt>
                <c:pt idx="3">
                  <c:v>7736</c:v>
                </c:pt>
                <c:pt idx="4">
                  <c:v>9730</c:v>
                </c:pt>
                <c:pt idx="5">
                  <c:v>13003</c:v>
                </c:pt>
                <c:pt idx="6">
                  <c:v>16705</c:v>
                </c:pt>
                <c:pt idx="7">
                  <c:v>19854</c:v>
                </c:pt>
                <c:pt idx="8">
                  <c:v>24038</c:v>
                </c:pt>
                <c:pt idx="9">
                  <c:v>27246</c:v>
                </c:pt>
              </c:numCache>
            </c:numRef>
          </c:xVal>
          <c:yVal>
            <c:numRef>
              <c:f>Hoja1!$R$21:$R$30</c:f>
              <c:numCache>
                <c:formatCode>General</c:formatCode>
                <c:ptCount val="10"/>
                <c:pt idx="0">
                  <c:v>1</c:v>
                </c:pt>
                <c:pt idx="1">
                  <c:v>0.90927419354838701</c:v>
                </c:pt>
                <c:pt idx="2">
                  <c:v>0.79838709677419351</c:v>
                </c:pt>
                <c:pt idx="3">
                  <c:v>0.72983870967741937</c:v>
                </c:pt>
                <c:pt idx="4">
                  <c:v>0.65120967741935487</c:v>
                </c:pt>
                <c:pt idx="5">
                  <c:v>0.59072580645161299</c:v>
                </c:pt>
                <c:pt idx="6">
                  <c:v>0.50604838709677413</c:v>
                </c:pt>
                <c:pt idx="7">
                  <c:v>0.4375</c:v>
                </c:pt>
                <c:pt idx="8">
                  <c:v>0.37701612903225806</c:v>
                </c:pt>
                <c:pt idx="9">
                  <c:v>0.33266129032258063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E2-4934-9D3D-F2788B3D2751}"/>
            </c:ext>
          </c:extLst>
        </c:ser>
        <c:ser>
          <c:idx val="11"/>
          <c:order val="11"/>
          <c:tx>
            <c:v>S_05_2_M_cat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Hoja1!$T$21:$T$29</c:f>
              <c:numCache>
                <c:formatCode>General</c:formatCode>
                <c:ptCount val="9"/>
                <c:pt idx="0">
                  <c:v>0</c:v>
                </c:pt>
                <c:pt idx="1">
                  <c:v>3408</c:v>
                </c:pt>
                <c:pt idx="2">
                  <c:v>6844</c:v>
                </c:pt>
                <c:pt idx="3">
                  <c:v>10581</c:v>
                </c:pt>
                <c:pt idx="4">
                  <c:v>14216</c:v>
                </c:pt>
                <c:pt idx="5">
                  <c:v>18106</c:v>
                </c:pt>
                <c:pt idx="6">
                  <c:v>21664</c:v>
                </c:pt>
                <c:pt idx="7">
                  <c:v>25776</c:v>
                </c:pt>
                <c:pt idx="8">
                  <c:v>28142</c:v>
                </c:pt>
              </c:numCache>
            </c:numRef>
          </c:xVal>
          <c:yVal>
            <c:numRef>
              <c:f>Hoja1!$X$21:$X$29</c:f>
              <c:numCache>
                <c:formatCode>General</c:formatCode>
                <c:ptCount val="9"/>
                <c:pt idx="0">
                  <c:v>1</c:v>
                </c:pt>
                <c:pt idx="1">
                  <c:v>0.90962671905697445</c:v>
                </c:pt>
                <c:pt idx="2">
                  <c:v>0.82121807465618857</c:v>
                </c:pt>
                <c:pt idx="3">
                  <c:v>0.73673870333988212</c:v>
                </c:pt>
                <c:pt idx="4">
                  <c:v>0.65815324165029476</c:v>
                </c:pt>
                <c:pt idx="5">
                  <c:v>0.56581532416502944</c:v>
                </c:pt>
                <c:pt idx="6">
                  <c:v>0.51080550098231825</c:v>
                </c:pt>
                <c:pt idx="7">
                  <c:v>0.44204322200392926</c:v>
                </c:pt>
                <c:pt idx="8">
                  <c:v>0.38310412573673869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E2-4934-9D3D-F2788B3D2751}"/>
            </c:ext>
          </c:extLst>
        </c:ser>
        <c:ser>
          <c:idx val="12"/>
          <c:order val="12"/>
          <c:tx>
            <c:v>S_05_3_M_cat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Hoja1!$Z$21:$Z$30</c:f>
              <c:numCache>
                <c:formatCode>General</c:formatCode>
                <c:ptCount val="10"/>
                <c:pt idx="0">
                  <c:v>0</c:v>
                </c:pt>
                <c:pt idx="1">
                  <c:v>3920</c:v>
                </c:pt>
                <c:pt idx="2">
                  <c:v>8029</c:v>
                </c:pt>
                <c:pt idx="3">
                  <c:v>13040</c:v>
                </c:pt>
                <c:pt idx="4">
                  <c:v>16629</c:v>
                </c:pt>
                <c:pt idx="5">
                  <c:v>21082</c:v>
                </c:pt>
                <c:pt idx="6">
                  <c:v>25818</c:v>
                </c:pt>
                <c:pt idx="7">
                  <c:v>29712</c:v>
                </c:pt>
                <c:pt idx="8">
                  <c:v>33472</c:v>
                </c:pt>
                <c:pt idx="9">
                  <c:v>35723</c:v>
                </c:pt>
              </c:numCache>
            </c:numRef>
          </c:xVal>
          <c:yVal>
            <c:numRef>
              <c:f>Hoja1!$AD$21:$AD$30</c:f>
              <c:numCache>
                <c:formatCode>General</c:formatCode>
                <c:ptCount val="10"/>
                <c:pt idx="0">
                  <c:v>1</c:v>
                </c:pt>
                <c:pt idx="1">
                  <c:v>0.87954110898661553</c:v>
                </c:pt>
                <c:pt idx="2">
                  <c:v>0.75143403441682599</c:v>
                </c:pt>
                <c:pt idx="3">
                  <c:v>0.65774378585086035</c:v>
                </c:pt>
                <c:pt idx="4">
                  <c:v>0.57361376673040143</c:v>
                </c:pt>
                <c:pt idx="5">
                  <c:v>0.50095602294455066</c:v>
                </c:pt>
                <c:pt idx="6">
                  <c:v>0.42638623326959846</c:v>
                </c:pt>
                <c:pt idx="7">
                  <c:v>0.35755258126195028</c:v>
                </c:pt>
                <c:pt idx="8">
                  <c:v>0.31739961759082214</c:v>
                </c:pt>
                <c:pt idx="9">
                  <c:v>0.29063097514340341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E2-4934-9D3D-F2788B3D2751}"/>
            </c:ext>
          </c:extLst>
        </c:ser>
        <c:ser>
          <c:idx val="13"/>
          <c:order val="13"/>
          <c:tx>
            <c:v>S_10_1_M_cat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Hoja1!$AF$21:$AF$27</c:f>
              <c:numCache>
                <c:formatCode>General</c:formatCode>
                <c:ptCount val="7"/>
                <c:pt idx="0">
                  <c:v>0</c:v>
                </c:pt>
                <c:pt idx="1">
                  <c:v>2341</c:v>
                </c:pt>
                <c:pt idx="2">
                  <c:v>4829</c:v>
                </c:pt>
                <c:pt idx="3">
                  <c:v>7632</c:v>
                </c:pt>
                <c:pt idx="4">
                  <c:v>10298</c:v>
                </c:pt>
                <c:pt idx="5">
                  <c:v>13140</c:v>
                </c:pt>
                <c:pt idx="6">
                  <c:v>16101</c:v>
                </c:pt>
              </c:numCache>
            </c:numRef>
          </c:xVal>
          <c:yVal>
            <c:numRef>
              <c:f>Hoja1!$AJ$21:$AJ$27</c:f>
              <c:numCache>
                <c:formatCode>General</c:formatCode>
                <c:ptCount val="7"/>
                <c:pt idx="0">
                  <c:v>1</c:v>
                </c:pt>
                <c:pt idx="1">
                  <c:v>0.89484536082474231</c:v>
                </c:pt>
                <c:pt idx="2">
                  <c:v>0.83917525773195889</c:v>
                </c:pt>
                <c:pt idx="3">
                  <c:v>0.74948453608247423</c:v>
                </c:pt>
                <c:pt idx="4">
                  <c:v>0.69072164948453618</c:v>
                </c:pt>
                <c:pt idx="5">
                  <c:v>0.57113402061855678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E2-4934-9D3D-F2788B3D2751}"/>
            </c:ext>
          </c:extLst>
        </c:ser>
        <c:ser>
          <c:idx val="14"/>
          <c:order val="14"/>
          <c:tx>
            <c:v>S_12_1_M_cat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Hoja1!$AL$21:$AL$31</c:f>
              <c:numCache>
                <c:formatCode>General</c:formatCode>
                <c:ptCount val="11"/>
                <c:pt idx="0">
                  <c:v>0</c:v>
                </c:pt>
                <c:pt idx="1">
                  <c:v>2157</c:v>
                </c:pt>
                <c:pt idx="2">
                  <c:v>4304</c:v>
                </c:pt>
                <c:pt idx="3">
                  <c:v>7013</c:v>
                </c:pt>
                <c:pt idx="4">
                  <c:v>9744</c:v>
                </c:pt>
                <c:pt idx="5">
                  <c:v>12863</c:v>
                </c:pt>
                <c:pt idx="6">
                  <c:v>15443</c:v>
                </c:pt>
                <c:pt idx="7">
                  <c:v>18164</c:v>
                </c:pt>
                <c:pt idx="8">
                  <c:v>21902</c:v>
                </c:pt>
                <c:pt idx="9">
                  <c:v>25103</c:v>
                </c:pt>
                <c:pt idx="10">
                  <c:v>27511</c:v>
                </c:pt>
              </c:numCache>
            </c:numRef>
          </c:xVal>
          <c:yVal>
            <c:numRef>
              <c:f>Hoja1!$AP$21:$AP$31</c:f>
              <c:numCache>
                <c:formatCode>General</c:formatCode>
                <c:ptCount val="11"/>
                <c:pt idx="0">
                  <c:v>1</c:v>
                </c:pt>
                <c:pt idx="1">
                  <c:v>0.93466898954703836</c:v>
                </c:pt>
                <c:pt idx="2">
                  <c:v>0.85365853658536583</c:v>
                </c:pt>
                <c:pt idx="3">
                  <c:v>0.7726480836236933</c:v>
                </c:pt>
                <c:pt idx="4">
                  <c:v>0.68641114982578388</c:v>
                </c:pt>
                <c:pt idx="5">
                  <c:v>0.60104529616724744</c:v>
                </c:pt>
                <c:pt idx="6">
                  <c:v>0.55662020905923337</c:v>
                </c:pt>
                <c:pt idx="7">
                  <c:v>0.49825783972125431</c:v>
                </c:pt>
                <c:pt idx="8">
                  <c:v>0.42682926829268292</c:v>
                </c:pt>
                <c:pt idx="9">
                  <c:v>0.37282229965156793</c:v>
                </c:pt>
                <c:pt idx="10">
                  <c:v>0.34756097560975613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E2-4934-9D3D-F2788B3D2751}"/>
            </c:ext>
          </c:extLst>
        </c:ser>
        <c:ser>
          <c:idx val="15"/>
          <c:order val="15"/>
          <c:tx>
            <c:v>S_15_1_M_cat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Hoja1!$AR$21:$AR$31</c:f>
              <c:numCache>
                <c:formatCode>General</c:formatCode>
                <c:ptCount val="11"/>
                <c:pt idx="0">
                  <c:v>0</c:v>
                </c:pt>
                <c:pt idx="1">
                  <c:v>1509</c:v>
                </c:pt>
                <c:pt idx="2">
                  <c:v>3584</c:v>
                </c:pt>
                <c:pt idx="3">
                  <c:v>5534</c:v>
                </c:pt>
                <c:pt idx="4">
                  <c:v>8019</c:v>
                </c:pt>
                <c:pt idx="5">
                  <c:v>10721</c:v>
                </c:pt>
                <c:pt idx="6">
                  <c:v>13541</c:v>
                </c:pt>
                <c:pt idx="7">
                  <c:v>16601</c:v>
                </c:pt>
                <c:pt idx="8">
                  <c:v>19764</c:v>
                </c:pt>
                <c:pt idx="9">
                  <c:v>22803</c:v>
                </c:pt>
                <c:pt idx="10">
                  <c:v>26040</c:v>
                </c:pt>
              </c:numCache>
            </c:numRef>
          </c:xVal>
          <c:yVal>
            <c:numRef>
              <c:f>Hoja1!$AV$21:$AV$31</c:f>
              <c:numCache>
                <c:formatCode>General</c:formatCode>
                <c:ptCount val="11"/>
                <c:pt idx="0">
                  <c:v>1</c:v>
                </c:pt>
                <c:pt idx="1">
                  <c:v>0.94012388162422578</c:v>
                </c:pt>
                <c:pt idx="2">
                  <c:v>0.89332415691672407</c:v>
                </c:pt>
                <c:pt idx="3">
                  <c:v>0.83069511355815562</c:v>
                </c:pt>
                <c:pt idx="4">
                  <c:v>0.78940123881624236</c:v>
                </c:pt>
                <c:pt idx="5">
                  <c:v>0.72952512044046802</c:v>
                </c:pt>
                <c:pt idx="6">
                  <c:v>0.67309015829318652</c:v>
                </c:pt>
                <c:pt idx="7">
                  <c:v>0.61114934618031669</c:v>
                </c:pt>
                <c:pt idx="8">
                  <c:v>0.56022023399862364</c:v>
                </c:pt>
                <c:pt idx="9">
                  <c:v>0.51617343427391604</c:v>
                </c:pt>
                <c:pt idx="10">
                  <c:v>0.46524432209222299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E2-4934-9D3D-F2788B3D2751}"/>
            </c:ext>
          </c:extLst>
        </c:ser>
        <c:ser>
          <c:idx val="16"/>
          <c:order val="16"/>
          <c:tx>
            <c:v>A_04_1_M_blanc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Hoja1!$B$3:$B$15</c:f>
              <c:numCache>
                <c:formatCode>General</c:formatCode>
                <c:ptCount val="13"/>
                <c:pt idx="0">
                  <c:v>0</c:v>
                </c:pt>
                <c:pt idx="1">
                  <c:v>836</c:v>
                </c:pt>
                <c:pt idx="2">
                  <c:v>2319</c:v>
                </c:pt>
                <c:pt idx="3">
                  <c:v>3899</c:v>
                </c:pt>
                <c:pt idx="4">
                  <c:v>5461</c:v>
                </c:pt>
                <c:pt idx="5">
                  <c:v>6629</c:v>
                </c:pt>
                <c:pt idx="6">
                  <c:v>8111</c:v>
                </c:pt>
                <c:pt idx="7">
                  <c:v>9315</c:v>
                </c:pt>
                <c:pt idx="8">
                  <c:v>10546</c:v>
                </c:pt>
                <c:pt idx="9">
                  <c:v>11406</c:v>
                </c:pt>
                <c:pt idx="10">
                  <c:v>11995</c:v>
                </c:pt>
                <c:pt idx="11">
                  <c:v>12054</c:v>
                </c:pt>
                <c:pt idx="12">
                  <c:v>13314</c:v>
                </c:pt>
              </c:numCache>
            </c:numRef>
          </c:xVal>
          <c:yVal>
            <c:numRef>
              <c:f>Hoja1!$D$3:$D$15</c:f>
              <c:numCache>
                <c:formatCode>General</c:formatCode>
                <c:ptCount val="13"/>
                <c:pt idx="0">
                  <c:v>1</c:v>
                </c:pt>
                <c:pt idx="1">
                  <c:v>1.0024691358024691</c:v>
                </c:pt>
                <c:pt idx="2">
                  <c:v>0.97037037037037044</c:v>
                </c:pt>
                <c:pt idx="3">
                  <c:v>1.0172839506172839</c:v>
                </c:pt>
                <c:pt idx="4">
                  <c:v>1.0222222222222221</c:v>
                </c:pt>
                <c:pt idx="5">
                  <c:v>1.0419753086419752</c:v>
                </c:pt>
                <c:pt idx="6">
                  <c:v>1.0493827160493827</c:v>
                </c:pt>
                <c:pt idx="7">
                  <c:v>1.0592592592592593</c:v>
                </c:pt>
                <c:pt idx="8">
                  <c:v>1.0641975308641975</c:v>
                </c:pt>
                <c:pt idx="9">
                  <c:v>1.0913580246913581</c:v>
                </c:pt>
                <c:pt idx="10">
                  <c:v>1.0938271604938272</c:v>
                </c:pt>
                <c:pt idx="11">
                  <c:v>1.0864197530864199</c:v>
                </c:pt>
                <c:pt idx="12">
                  <c:v>1.1037037037037036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FE2-4934-9D3D-F2788B3D2751}"/>
            </c:ext>
          </c:extLst>
        </c:ser>
        <c:ser>
          <c:idx val="17"/>
          <c:order val="17"/>
          <c:tx>
            <c:v>A_06_1_M_blanc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(Hoja1!$H$3,Hoja1!$H$5:$H$7,Hoja1!$H$10:$H$11)</c:f>
              <c:numCache>
                <c:formatCode>General</c:formatCode>
                <c:ptCount val="6"/>
                <c:pt idx="0">
                  <c:v>0</c:v>
                </c:pt>
                <c:pt idx="1">
                  <c:v>1848</c:v>
                </c:pt>
                <c:pt idx="2">
                  <c:v>2525</c:v>
                </c:pt>
                <c:pt idx="3">
                  <c:v>3430</c:v>
                </c:pt>
                <c:pt idx="4">
                  <c:v>5673</c:v>
                </c:pt>
                <c:pt idx="5">
                  <c:v>6026</c:v>
                </c:pt>
              </c:numCache>
            </c:numRef>
          </c:xVal>
          <c:yVal>
            <c:numRef>
              <c:f>(Hoja1!$J$3,Hoja1!$J$5:$J$7,Hoja1!$J$10:$J$11)</c:f>
              <c:numCache>
                <c:formatCode>General</c:formatCode>
                <c:ptCount val="6"/>
                <c:pt idx="0">
                  <c:v>1</c:v>
                </c:pt>
                <c:pt idx="1">
                  <c:v>1.0149750415973378</c:v>
                </c:pt>
                <c:pt idx="2">
                  <c:v>1.0199667221297837</c:v>
                </c:pt>
                <c:pt idx="3">
                  <c:v>1.0249584026622296</c:v>
                </c:pt>
                <c:pt idx="4">
                  <c:v>1.038269550748752</c:v>
                </c:pt>
                <c:pt idx="5">
                  <c:v>1.0449251247920135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FE2-4934-9D3D-F2788B3D2751}"/>
            </c:ext>
          </c:extLst>
        </c:ser>
        <c:ser>
          <c:idx val="18"/>
          <c:order val="18"/>
          <c:tx>
            <c:v>A_14_1_M_blanc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(Hoja1!$AC$3:$AC$9,Hoja1!$AC$11:$AC$12)</c:f>
              <c:numCache>
                <c:formatCode>General</c:formatCode>
                <c:ptCount val="9"/>
                <c:pt idx="0">
                  <c:v>0</c:v>
                </c:pt>
                <c:pt idx="1">
                  <c:v>798</c:v>
                </c:pt>
                <c:pt idx="2">
                  <c:v>1774</c:v>
                </c:pt>
                <c:pt idx="3">
                  <c:v>3256</c:v>
                </c:pt>
                <c:pt idx="4">
                  <c:v>5127</c:v>
                </c:pt>
                <c:pt idx="5">
                  <c:v>6518</c:v>
                </c:pt>
                <c:pt idx="6">
                  <c:v>7249</c:v>
                </c:pt>
                <c:pt idx="7">
                  <c:v>8389</c:v>
                </c:pt>
                <c:pt idx="8">
                  <c:v>8635</c:v>
                </c:pt>
              </c:numCache>
            </c:numRef>
          </c:xVal>
          <c:yVal>
            <c:numRef>
              <c:f>(Hoja1!$AE$3:$AE$9,Hoja1!$AE$11:$AE$12)</c:f>
              <c:numCache>
                <c:formatCode>General</c:formatCode>
                <c:ptCount val="9"/>
                <c:pt idx="0">
                  <c:v>1</c:v>
                </c:pt>
                <c:pt idx="1">
                  <c:v>1.0195154777927322</c:v>
                </c:pt>
                <c:pt idx="2">
                  <c:v>1.0235531628532974</c:v>
                </c:pt>
                <c:pt idx="3">
                  <c:v>1.028936742934051</c:v>
                </c:pt>
                <c:pt idx="4">
                  <c:v>1.0464333781965007</c:v>
                </c:pt>
                <c:pt idx="5">
                  <c:v>1.0531628532974429</c:v>
                </c:pt>
                <c:pt idx="6">
                  <c:v>1.0733512786002692</c:v>
                </c:pt>
                <c:pt idx="7">
                  <c:v>1.0861372812920593</c:v>
                </c:pt>
                <c:pt idx="8">
                  <c:v>1.0773889636608347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FE2-4934-9D3D-F2788B3D2751}"/>
            </c:ext>
          </c:extLst>
        </c:ser>
        <c:ser>
          <c:idx val="19"/>
          <c:order val="19"/>
          <c:tx>
            <c:v>A_14_2_M_blanc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(Hoja1!$AI$3:$AI$9,Hoja1!$AI$11:$AI$17)</c:f>
              <c:numCache>
                <c:formatCode>General</c:formatCode>
                <c:ptCount val="14"/>
                <c:pt idx="0">
                  <c:v>0</c:v>
                </c:pt>
                <c:pt idx="1">
                  <c:v>1200</c:v>
                </c:pt>
                <c:pt idx="2">
                  <c:v>2147</c:v>
                </c:pt>
                <c:pt idx="3">
                  <c:v>3601</c:v>
                </c:pt>
                <c:pt idx="4">
                  <c:v>5111</c:v>
                </c:pt>
                <c:pt idx="5">
                  <c:v>6290</c:v>
                </c:pt>
                <c:pt idx="6">
                  <c:v>7888</c:v>
                </c:pt>
                <c:pt idx="7">
                  <c:v>9642</c:v>
                </c:pt>
                <c:pt idx="8">
                  <c:v>10239</c:v>
                </c:pt>
                <c:pt idx="9">
                  <c:v>10750</c:v>
                </c:pt>
                <c:pt idx="10">
                  <c:v>11138</c:v>
                </c:pt>
                <c:pt idx="11">
                  <c:v>11897</c:v>
                </c:pt>
                <c:pt idx="12">
                  <c:v>12718</c:v>
                </c:pt>
                <c:pt idx="13">
                  <c:v>13353</c:v>
                </c:pt>
              </c:numCache>
            </c:numRef>
          </c:xVal>
          <c:yVal>
            <c:numRef>
              <c:f>(Hoja1!$AK$3:$AK$9,Hoja1!$AK$11:$AK$17)</c:f>
              <c:numCache>
                <c:formatCode>General</c:formatCode>
                <c:ptCount val="14"/>
                <c:pt idx="0">
                  <c:v>1</c:v>
                </c:pt>
                <c:pt idx="1">
                  <c:v>1.0020188425302827</c:v>
                </c:pt>
                <c:pt idx="2">
                  <c:v>1.0255720053835802</c:v>
                </c:pt>
                <c:pt idx="3">
                  <c:v>1.0302826379542396</c:v>
                </c:pt>
                <c:pt idx="4">
                  <c:v>1.0363391655450875</c:v>
                </c:pt>
                <c:pt idx="5">
                  <c:v>1.0511440107671601</c:v>
                </c:pt>
                <c:pt idx="6">
                  <c:v>1.0807537012113055</c:v>
                </c:pt>
                <c:pt idx="7">
                  <c:v>1.0807537012113055</c:v>
                </c:pt>
                <c:pt idx="8">
                  <c:v>1.0807537012113055</c:v>
                </c:pt>
                <c:pt idx="9">
                  <c:v>1.0827725437415883</c:v>
                </c:pt>
                <c:pt idx="10">
                  <c:v>1.0915208613728129</c:v>
                </c:pt>
                <c:pt idx="11">
                  <c:v>1.0935397039030956</c:v>
                </c:pt>
                <c:pt idx="12">
                  <c:v>1.1090174966352626</c:v>
                </c:pt>
                <c:pt idx="13">
                  <c:v>1.1096904441453566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FE2-4934-9D3D-F2788B3D2751}"/>
            </c:ext>
          </c:extLst>
        </c:ser>
        <c:ser>
          <c:idx val="20"/>
          <c:order val="20"/>
          <c:tx>
            <c:v>A_16_1_M_blanc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Hoja1!$AO$3:$AO$14</c:f>
              <c:numCache>
                <c:formatCode>General</c:formatCode>
                <c:ptCount val="12"/>
                <c:pt idx="0">
                  <c:v>0</c:v>
                </c:pt>
                <c:pt idx="1">
                  <c:v>801</c:v>
                </c:pt>
                <c:pt idx="2">
                  <c:v>1771</c:v>
                </c:pt>
                <c:pt idx="3">
                  <c:v>2533</c:v>
                </c:pt>
                <c:pt idx="4">
                  <c:v>3531</c:v>
                </c:pt>
                <c:pt idx="5">
                  <c:v>4321</c:v>
                </c:pt>
                <c:pt idx="6">
                  <c:v>5669</c:v>
                </c:pt>
                <c:pt idx="7">
                  <c:v>6790</c:v>
                </c:pt>
                <c:pt idx="8">
                  <c:v>7673</c:v>
                </c:pt>
                <c:pt idx="9">
                  <c:v>8558</c:v>
                </c:pt>
                <c:pt idx="10">
                  <c:v>9178</c:v>
                </c:pt>
                <c:pt idx="11">
                  <c:v>9606</c:v>
                </c:pt>
              </c:numCache>
            </c:numRef>
          </c:xVal>
          <c:yVal>
            <c:numRef>
              <c:f>Hoja1!$AQ$3:$AQ$14</c:f>
              <c:numCache>
                <c:formatCode>General</c:formatCode>
                <c:ptCount val="12"/>
                <c:pt idx="0">
                  <c:v>1</c:v>
                </c:pt>
                <c:pt idx="1">
                  <c:v>1.0317087492660011</c:v>
                </c:pt>
                <c:pt idx="2">
                  <c:v>1.0123311802701114</c:v>
                </c:pt>
                <c:pt idx="3">
                  <c:v>1.0375807398708163</c:v>
                </c:pt>
                <c:pt idx="4">
                  <c:v>1.0270111567821489</c:v>
                </c:pt>
                <c:pt idx="5">
                  <c:v>1.0499119201409277</c:v>
                </c:pt>
                <c:pt idx="6">
                  <c:v>1.0616559013505578</c:v>
                </c:pt>
                <c:pt idx="7">
                  <c:v>1.0651790957134468</c:v>
                </c:pt>
                <c:pt idx="8">
                  <c:v>1.0739870816206694</c:v>
                </c:pt>
                <c:pt idx="9">
                  <c:v>1.0851438637698179</c:v>
                </c:pt>
                <c:pt idx="10">
                  <c:v>1.0933646506165591</c:v>
                </c:pt>
                <c:pt idx="11">
                  <c:v>1.0986494421608926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FE2-4934-9D3D-F2788B3D2751}"/>
            </c:ext>
          </c:extLst>
        </c:ser>
        <c:ser>
          <c:idx val="21"/>
          <c:order val="21"/>
          <c:tx>
            <c:v>S_02_1_M_blanc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(Hoja1!$B$21:$B$24,Hoja1!$B$27)</c:f>
              <c:numCache>
                <c:formatCode>General</c:formatCode>
                <c:ptCount val="5"/>
                <c:pt idx="0">
                  <c:v>0</c:v>
                </c:pt>
                <c:pt idx="1">
                  <c:v>2954</c:v>
                </c:pt>
                <c:pt idx="2">
                  <c:v>5864</c:v>
                </c:pt>
                <c:pt idx="3">
                  <c:v>8833</c:v>
                </c:pt>
                <c:pt idx="4">
                  <c:v>17616</c:v>
                </c:pt>
              </c:numCache>
            </c:numRef>
          </c:xVal>
          <c:yVal>
            <c:numRef>
              <c:f>(Hoja1!$D$21:$D$24,Hoja1!$D$27)</c:f>
              <c:numCache>
                <c:formatCode>General</c:formatCode>
                <c:ptCount val="5"/>
                <c:pt idx="0">
                  <c:v>1</c:v>
                </c:pt>
                <c:pt idx="1">
                  <c:v>1.0467289719626169</c:v>
                </c:pt>
                <c:pt idx="2">
                  <c:v>1.0514018691588785</c:v>
                </c:pt>
                <c:pt idx="3">
                  <c:v>1.1074766355140186</c:v>
                </c:pt>
                <c:pt idx="4">
                  <c:v>1.1214953271028036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FE2-4934-9D3D-F2788B3D2751}"/>
            </c:ext>
          </c:extLst>
        </c:ser>
        <c:ser>
          <c:idx val="22"/>
          <c:order val="22"/>
          <c:tx>
            <c:v>S_04_1_M_blanc</c:v>
          </c:tx>
          <c:spPr>
            <a:ln w="19050" cap="rnd">
              <a:solidFill>
                <a:srgbClr val="FF0000">
                  <a:alpha val="97000"/>
                </a:srgb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Hoja1!$H$21:$H$31</c:f>
              <c:numCache>
                <c:formatCode>General</c:formatCode>
                <c:ptCount val="11"/>
                <c:pt idx="0">
                  <c:v>0</c:v>
                </c:pt>
                <c:pt idx="1">
                  <c:v>1912</c:v>
                </c:pt>
                <c:pt idx="2">
                  <c:v>4161</c:v>
                </c:pt>
                <c:pt idx="3">
                  <c:v>6798</c:v>
                </c:pt>
                <c:pt idx="4">
                  <c:v>9635</c:v>
                </c:pt>
                <c:pt idx="5">
                  <c:v>12568</c:v>
                </c:pt>
                <c:pt idx="6">
                  <c:v>15117</c:v>
                </c:pt>
                <c:pt idx="7">
                  <c:v>18126</c:v>
                </c:pt>
                <c:pt idx="8">
                  <c:v>21751</c:v>
                </c:pt>
                <c:pt idx="9">
                  <c:v>24393</c:v>
                </c:pt>
                <c:pt idx="10">
                  <c:v>26914</c:v>
                </c:pt>
              </c:numCache>
            </c:numRef>
          </c:xVal>
          <c:yVal>
            <c:numRef>
              <c:f>Hoja1!$J$21:$J$31</c:f>
              <c:numCache>
                <c:formatCode>General</c:formatCode>
                <c:ptCount val="11"/>
                <c:pt idx="0">
                  <c:v>1</c:v>
                </c:pt>
                <c:pt idx="1">
                  <c:v>1.0095693779904307</c:v>
                </c:pt>
                <c:pt idx="2">
                  <c:v>1.0191387559808613</c:v>
                </c:pt>
                <c:pt idx="3">
                  <c:v>1.0263157894736843</c:v>
                </c:pt>
                <c:pt idx="4">
                  <c:v>1.035885167464115</c:v>
                </c:pt>
                <c:pt idx="5">
                  <c:v>1.0382775119617225</c:v>
                </c:pt>
                <c:pt idx="6">
                  <c:v>1.0430622009569379</c:v>
                </c:pt>
                <c:pt idx="7">
                  <c:v>1.0454545454545456</c:v>
                </c:pt>
                <c:pt idx="8">
                  <c:v>1.0717703349282299</c:v>
                </c:pt>
                <c:pt idx="9">
                  <c:v>1.1004784688995215</c:v>
                </c:pt>
                <c:pt idx="10">
                  <c:v>1.1004784688995215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FE2-4934-9D3D-F2788B3D2751}"/>
            </c:ext>
          </c:extLst>
        </c:ser>
        <c:ser>
          <c:idx val="23"/>
          <c:order val="23"/>
          <c:tx>
            <c:v>S_05_1_M_blanc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Hoja1!$N$21:$N$30</c:f>
              <c:numCache>
                <c:formatCode>General</c:formatCode>
                <c:ptCount val="10"/>
                <c:pt idx="0">
                  <c:v>0</c:v>
                </c:pt>
                <c:pt idx="1">
                  <c:v>2446</c:v>
                </c:pt>
                <c:pt idx="2">
                  <c:v>5055</c:v>
                </c:pt>
                <c:pt idx="3">
                  <c:v>7736</c:v>
                </c:pt>
                <c:pt idx="4">
                  <c:v>9730</c:v>
                </c:pt>
                <c:pt idx="5">
                  <c:v>13003</c:v>
                </c:pt>
                <c:pt idx="6">
                  <c:v>16705</c:v>
                </c:pt>
                <c:pt idx="7">
                  <c:v>19854</c:v>
                </c:pt>
                <c:pt idx="8">
                  <c:v>24038</c:v>
                </c:pt>
                <c:pt idx="9">
                  <c:v>27246</c:v>
                </c:pt>
              </c:numCache>
            </c:numRef>
          </c:xVal>
          <c:yVal>
            <c:numRef>
              <c:f>Hoja1!$P$21:$P$30</c:f>
              <c:numCache>
                <c:formatCode>General</c:formatCode>
                <c:ptCount val="10"/>
                <c:pt idx="0">
                  <c:v>1</c:v>
                </c:pt>
                <c:pt idx="1">
                  <c:v>1.029585798816568</c:v>
                </c:pt>
                <c:pt idx="2">
                  <c:v>1.0414201183431953</c:v>
                </c:pt>
                <c:pt idx="3">
                  <c:v>1.0493096646942801</c:v>
                </c:pt>
                <c:pt idx="4">
                  <c:v>1.0611439842209072</c:v>
                </c:pt>
                <c:pt idx="5">
                  <c:v>1.0808678500986193</c:v>
                </c:pt>
                <c:pt idx="6">
                  <c:v>1.0986193293885602</c:v>
                </c:pt>
                <c:pt idx="7">
                  <c:v>1.1045364891518736</c:v>
                </c:pt>
                <c:pt idx="8">
                  <c:v>1.1163708086785009</c:v>
                </c:pt>
                <c:pt idx="9">
                  <c:v>1.1360946745562128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FE2-4934-9D3D-F2788B3D2751}"/>
            </c:ext>
          </c:extLst>
        </c:ser>
        <c:ser>
          <c:idx val="24"/>
          <c:order val="24"/>
          <c:tx>
            <c:v>S_05_2_M_blanc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Hoja1!$T$21:$T$29</c:f>
              <c:numCache>
                <c:formatCode>General</c:formatCode>
                <c:ptCount val="9"/>
                <c:pt idx="0">
                  <c:v>0</c:v>
                </c:pt>
                <c:pt idx="1">
                  <c:v>3408</c:v>
                </c:pt>
                <c:pt idx="2">
                  <c:v>6844</c:v>
                </c:pt>
                <c:pt idx="3">
                  <c:v>10581</c:v>
                </c:pt>
                <c:pt idx="4">
                  <c:v>14216</c:v>
                </c:pt>
                <c:pt idx="5">
                  <c:v>18106</c:v>
                </c:pt>
                <c:pt idx="6">
                  <c:v>21664</c:v>
                </c:pt>
                <c:pt idx="7">
                  <c:v>25776</c:v>
                </c:pt>
                <c:pt idx="8">
                  <c:v>28142</c:v>
                </c:pt>
              </c:numCache>
            </c:numRef>
          </c:xVal>
          <c:yVal>
            <c:numRef>
              <c:f>Hoja1!$V$21:$V$29</c:f>
              <c:numCache>
                <c:formatCode>General</c:formatCode>
                <c:ptCount val="9"/>
                <c:pt idx="0">
                  <c:v>1</c:v>
                </c:pt>
                <c:pt idx="1">
                  <c:v>1.0755467196819086</c:v>
                </c:pt>
                <c:pt idx="2">
                  <c:v>1.0914512922465209</c:v>
                </c:pt>
                <c:pt idx="3">
                  <c:v>1.1053677932405566</c:v>
                </c:pt>
                <c:pt idx="4">
                  <c:v>1.1232604373757455</c:v>
                </c:pt>
                <c:pt idx="5">
                  <c:v>1.1312127236580518</c:v>
                </c:pt>
                <c:pt idx="6">
                  <c:v>1.1669980119284293</c:v>
                </c:pt>
                <c:pt idx="7">
                  <c:v>1.1968190854870775</c:v>
                </c:pt>
                <c:pt idx="8">
                  <c:v>1.2047713717693835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FE2-4934-9D3D-F2788B3D2751}"/>
            </c:ext>
          </c:extLst>
        </c:ser>
        <c:ser>
          <c:idx val="25"/>
          <c:order val="25"/>
          <c:tx>
            <c:v>S_05_3_M_blanc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Hoja1!$Z$21:$Z$30</c:f>
              <c:numCache>
                <c:formatCode>General</c:formatCode>
                <c:ptCount val="10"/>
                <c:pt idx="0">
                  <c:v>0</c:v>
                </c:pt>
                <c:pt idx="1">
                  <c:v>3920</c:v>
                </c:pt>
                <c:pt idx="2">
                  <c:v>8029</c:v>
                </c:pt>
                <c:pt idx="3">
                  <c:v>13040</c:v>
                </c:pt>
                <c:pt idx="4">
                  <c:v>16629</c:v>
                </c:pt>
                <c:pt idx="5">
                  <c:v>21082</c:v>
                </c:pt>
                <c:pt idx="6">
                  <c:v>25818</c:v>
                </c:pt>
                <c:pt idx="7">
                  <c:v>29712</c:v>
                </c:pt>
                <c:pt idx="8">
                  <c:v>33472</c:v>
                </c:pt>
                <c:pt idx="9">
                  <c:v>35723</c:v>
                </c:pt>
              </c:numCache>
            </c:numRef>
          </c:xVal>
          <c:yVal>
            <c:numRef>
              <c:f>Hoja1!$AB$21:$AB$30</c:f>
              <c:numCache>
                <c:formatCode>General</c:formatCode>
                <c:ptCount val="10"/>
                <c:pt idx="0">
                  <c:v>1</c:v>
                </c:pt>
                <c:pt idx="1">
                  <c:v>1.0114942528735633</c:v>
                </c:pt>
                <c:pt idx="2">
                  <c:v>1.0268199233716475</c:v>
                </c:pt>
                <c:pt idx="3">
                  <c:v>1.0038314176245211</c:v>
                </c:pt>
                <c:pt idx="4">
                  <c:v>1.0555555555555556</c:v>
                </c:pt>
                <c:pt idx="5">
                  <c:v>1.0727969348659003</c:v>
                </c:pt>
                <c:pt idx="6">
                  <c:v>1.0996168582375481</c:v>
                </c:pt>
                <c:pt idx="7">
                  <c:v>1.1091954022988506</c:v>
                </c:pt>
                <c:pt idx="8">
                  <c:v>1.1360153256704981</c:v>
                </c:pt>
                <c:pt idx="9">
                  <c:v>1.1475095785440614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FE2-4934-9D3D-F2788B3D2751}"/>
            </c:ext>
          </c:extLst>
        </c:ser>
        <c:ser>
          <c:idx val="26"/>
          <c:order val="26"/>
          <c:tx>
            <c:v>S_10_1_M_blanc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Hoja1!$AF$21:$AF$27</c:f>
              <c:numCache>
                <c:formatCode>General</c:formatCode>
                <c:ptCount val="7"/>
                <c:pt idx="0">
                  <c:v>0</c:v>
                </c:pt>
                <c:pt idx="1">
                  <c:v>2341</c:v>
                </c:pt>
                <c:pt idx="2">
                  <c:v>4829</c:v>
                </c:pt>
                <c:pt idx="3">
                  <c:v>7632</c:v>
                </c:pt>
                <c:pt idx="4">
                  <c:v>10298</c:v>
                </c:pt>
                <c:pt idx="5">
                  <c:v>13140</c:v>
                </c:pt>
                <c:pt idx="6">
                  <c:v>16101</c:v>
                </c:pt>
              </c:numCache>
            </c:numRef>
          </c:xVal>
          <c:yVal>
            <c:numRef>
              <c:f>Hoja1!$AH$21:$AH$27</c:f>
              <c:numCache>
                <c:formatCode>General</c:formatCode>
                <c:ptCount val="7"/>
                <c:pt idx="0">
                  <c:v>1</c:v>
                </c:pt>
                <c:pt idx="1">
                  <c:v>1.0255623721881391</c:v>
                </c:pt>
                <c:pt idx="2">
                  <c:v>1.0439672801635993</c:v>
                </c:pt>
                <c:pt idx="3">
                  <c:v>1.0572597137014315</c:v>
                </c:pt>
                <c:pt idx="4">
                  <c:v>1.0950920245398774</c:v>
                </c:pt>
                <c:pt idx="5">
                  <c:v>1.1155419222903886</c:v>
                </c:pt>
                <c:pt idx="6">
                  <c:v>1.1165644171779141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FE2-4934-9D3D-F2788B3D2751}"/>
            </c:ext>
          </c:extLst>
        </c:ser>
        <c:ser>
          <c:idx val="27"/>
          <c:order val="27"/>
          <c:tx>
            <c:v>S_12_1_M_blanc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Hoja1!$AL$21:$AL$31</c:f>
              <c:numCache>
                <c:formatCode>General</c:formatCode>
                <c:ptCount val="11"/>
                <c:pt idx="0">
                  <c:v>0</c:v>
                </c:pt>
                <c:pt idx="1">
                  <c:v>2157</c:v>
                </c:pt>
                <c:pt idx="2">
                  <c:v>4304</c:v>
                </c:pt>
                <c:pt idx="3">
                  <c:v>7013</c:v>
                </c:pt>
                <c:pt idx="4">
                  <c:v>9744</c:v>
                </c:pt>
                <c:pt idx="5">
                  <c:v>12863</c:v>
                </c:pt>
                <c:pt idx="6">
                  <c:v>15443</c:v>
                </c:pt>
                <c:pt idx="7">
                  <c:v>18164</c:v>
                </c:pt>
                <c:pt idx="8">
                  <c:v>21902</c:v>
                </c:pt>
                <c:pt idx="9">
                  <c:v>25103</c:v>
                </c:pt>
                <c:pt idx="10">
                  <c:v>27511</c:v>
                </c:pt>
              </c:numCache>
            </c:numRef>
          </c:xVal>
          <c:yVal>
            <c:numRef>
              <c:f>Hoja1!$AN$21:$AN$31</c:f>
              <c:numCache>
                <c:formatCode>General</c:formatCode>
                <c:ptCount val="11"/>
                <c:pt idx="0">
                  <c:v>1</c:v>
                </c:pt>
                <c:pt idx="1">
                  <c:v>1.0163230240549828</c:v>
                </c:pt>
                <c:pt idx="2">
                  <c:v>1.0249140893470789</c:v>
                </c:pt>
                <c:pt idx="3">
                  <c:v>1.0309278350515463</c:v>
                </c:pt>
                <c:pt idx="4">
                  <c:v>1.0446735395189004</c:v>
                </c:pt>
                <c:pt idx="5">
                  <c:v>1.0670103092783505</c:v>
                </c:pt>
                <c:pt idx="6">
                  <c:v>1.0773195876288659</c:v>
                </c:pt>
                <c:pt idx="7">
                  <c:v>1.0962199312714775</c:v>
                </c:pt>
                <c:pt idx="8">
                  <c:v>1.1168384879725086</c:v>
                </c:pt>
                <c:pt idx="9">
                  <c:v>1.1262886597938144</c:v>
                </c:pt>
                <c:pt idx="10">
                  <c:v>1.1323024054982818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FE2-4934-9D3D-F2788B3D2751}"/>
            </c:ext>
          </c:extLst>
        </c:ser>
        <c:ser>
          <c:idx val="28"/>
          <c:order val="28"/>
          <c:tx>
            <c:v>S_15_1_M_blanc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Hoja1!$AR$21:$AR$31</c:f>
              <c:numCache>
                <c:formatCode>General</c:formatCode>
                <c:ptCount val="11"/>
                <c:pt idx="0">
                  <c:v>0</c:v>
                </c:pt>
                <c:pt idx="1">
                  <c:v>1509</c:v>
                </c:pt>
                <c:pt idx="2">
                  <c:v>3584</c:v>
                </c:pt>
                <c:pt idx="3">
                  <c:v>5534</c:v>
                </c:pt>
                <c:pt idx="4">
                  <c:v>8019</c:v>
                </c:pt>
                <c:pt idx="5">
                  <c:v>10721</c:v>
                </c:pt>
                <c:pt idx="6">
                  <c:v>13541</c:v>
                </c:pt>
                <c:pt idx="7">
                  <c:v>16601</c:v>
                </c:pt>
                <c:pt idx="8">
                  <c:v>19764</c:v>
                </c:pt>
                <c:pt idx="9">
                  <c:v>22803</c:v>
                </c:pt>
                <c:pt idx="10">
                  <c:v>26040</c:v>
                </c:pt>
              </c:numCache>
            </c:numRef>
          </c:xVal>
          <c:yVal>
            <c:numRef>
              <c:f>Hoja1!$AT$21:$AT$31</c:f>
              <c:numCache>
                <c:formatCode>General</c:formatCode>
                <c:ptCount val="11"/>
                <c:pt idx="0">
                  <c:v>1</c:v>
                </c:pt>
                <c:pt idx="1">
                  <c:v>1.0068166325835037</c:v>
                </c:pt>
                <c:pt idx="2">
                  <c:v>1.0177232447171098</c:v>
                </c:pt>
                <c:pt idx="3">
                  <c:v>1.0306748466257669</c:v>
                </c:pt>
                <c:pt idx="4">
                  <c:v>1.0470347648261757</c:v>
                </c:pt>
                <c:pt idx="5">
                  <c:v>1.0633946830265848</c:v>
                </c:pt>
                <c:pt idx="6">
                  <c:v>1.0913428766189504</c:v>
                </c:pt>
                <c:pt idx="7">
                  <c:v>1.0940695296523517</c:v>
                </c:pt>
                <c:pt idx="8">
                  <c:v>1.1070211315610088</c:v>
                </c:pt>
                <c:pt idx="9">
                  <c:v>1.1220177232447173</c:v>
                </c:pt>
                <c:pt idx="10">
                  <c:v>1.1411042944785275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FE2-4934-9D3D-F2788B3D2751}"/>
            </c:ext>
          </c:extLst>
        </c:ser>
        <c:ser>
          <c:idx val="29"/>
          <c:order val="29"/>
          <c:tx>
            <c:v>Tardor_Cat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AFE2-4934-9D3D-F2788B3D2751}"/>
            </c:ext>
          </c:extLst>
        </c:ser>
        <c:ser>
          <c:idx val="30"/>
          <c:order val="30"/>
          <c:tx>
            <c:v>Tardor_blanc</c:v>
          </c:tx>
          <c:spPr>
            <a:ln w="19050" cap="rnd">
              <a:solidFill>
                <a:srgbClr val="00B050">
                  <a:alpha val="99000"/>
                </a:srgb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AFE2-4934-9D3D-F2788B3D2751}"/>
            </c:ext>
          </c:extLst>
        </c:ser>
        <c:ser>
          <c:idx val="31"/>
          <c:order val="31"/>
          <c:tx>
            <c:v>Primavera_cat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AFE2-4934-9D3D-F2788B3D2751}"/>
            </c:ext>
          </c:extLst>
        </c:ser>
        <c:ser>
          <c:idx val="32"/>
          <c:order val="32"/>
          <c:tx>
            <c:v>Primavera_blanc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AFE2-4934-9D3D-F2788B3D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162687"/>
        <c:axId val="1642163647"/>
      </c:scatterChart>
      <c:valAx>
        <c:axId val="1125162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sz="1600" b="1">
                    <a:solidFill>
                      <a:sysClr val="windowText" lastClr="000000"/>
                    </a:solidFill>
                  </a:rPr>
                  <a:t>E (mJ/cm</a:t>
                </a:r>
                <a:r>
                  <a:rPr lang="ca-ES" sz="1600" b="1" baseline="30000">
                    <a:solidFill>
                      <a:sysClr val="windowText" lastClr="000000"/>
                    </a:solidFill>
                  </a:rPr>
                  <a:t>2</a:t>
                </a:r>
                <a:r>
                  <a:rPr lang="ca-ES" sz="1600" b="1">
                    <a:solidFill>
                      <a:sysClr val="windowText" lastClr="000000"/>
                    </a:solidFill>
                  </a:rPr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642163647"/>
        <c:crosses val="autoZero"/>
        <c:crossBetween val="midCat"/>
      </c:valAx>
      <c:valAx>
        <c:axId val="164216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sz="1600" b="1">
                    <a:solidFill>
                      <a:sysClr val="windowText" lastClr="000000"/>
                    </a:solidFill>
                  </a:rPr>
                  <a:t>C/C</a:t>
                </a:r>
                <a:r>
                  <a:rPr lang="ca-ES" sz="1600" b="1" baseline="-25000">
                    <a:solidFill>
                      <a:sysClr val="windowText" lastClr="000000"/>
                    </a:solidFill>
                  </a:rPr>
                  <a:t>0</a:t>
                </a:r>
                <a:r>
                  <a:rPr lang="ca-ES" sz="1600" b="1" baseline="0">
                    <a:solidFill>
                      <a:sysClr val="windowText" lastClr="000000"/>
                    </a:solidFill>
                  </a:rPr>
                  <a:t> (-)</a:t>
                </a:r>
                <a:endParaRPr lang="ca-ES" sz="16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125162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Hoja1!$BA$3:$BA$19</c:f>
              <c:strCache>
                <c:ptCount val="17"/>
                <c:pt idx="0">
                  <c:v>A_04_1_M</c:v>
                </c:pt>
                <c:pt idx="1">
                  <c:v>A_06_1_M</c:v>
                </c:pt>
                <c:pt idx="2">
                  <c:v>A_10_1_M</c:v>
                </c:pt>
                <c:pt idx="3">
                  <c:v>A_10_2_M</c:v>
                </c:pt>
                <c:pt idx="4">
                  <c:v>A_10_3_M</c:v>
                </c:pt>
                <c:pt idx="5">
                  <c:v>A_14_1_M</c:v>
                </c:pt>
                <c:pt idx="6">
                  <c:v>A_14_2_M</c:v>
                </c:pt>
                <c:pt idx="7">
                  <c:v>A_16_1_M</c:v>
                </c:pt>
                <c:pt idx="9">
                  <c:v>S_02_1_M</c:v>
                </c:pt>
                <c:pt idx="10">
                  <c:v>S_04_1_M</c:v>
                </c:pt>
                <c:pt idx="11">
                  <c:v>S_05_1_M</c:v>
                </c:pt>
                <c:pt idx="12">
                  <c:v>S_05_2_M</c:v>
                </c:pt>
                <c:pt idx="13">
                  <c:v>S_05_3_M</c:v>
                </c:pt>
                <c:pt idx="14">
                  <c:v>S_10_1_M</c:v>
                </c:pt>
                <c:pt idx="15">
                  <c:v>S_12_1_M</c:v>
                </c:pt>
                <c:pt idx="16">
                  <c:v>S_15_1_M</c:v>
                </c:pt>
              </c:strCache>
            </c:strRef>
          </c:cat>
          <c:val>
            <c:numRef>
              <c:f>Hoja1!$BB$3:$BB$19</c:f>
              <c:numCache>
                <c:formatCode>General</c:formatCode>
                <c:ptCount val="17"/>
                <c:pt idx="0">
                  <c:v>4438</c:v>
                </c:pt>
                <c:pt idx="1">
                  <c:v>3013</c:v>
                </c:pt>
                <c:pt idx="2">
                  <c:v>3255</c:v>
                </c:pt>
                <c:pt idx="3">
                  <c:v>4441</c:v>
                </c:pt>
                <c:pt idx="4">
                  <c:v>4899.4285714285716</c:v>
                </c:pt>
                <c:pt idx="5">
                  <c:v>3837.7777777777778</c:v>
                </c:pt>
                <c:pt idx="6">
                  <c:v>3815.1428571428573</c:v>
                </c:pt>
                <c:pt idx="7">
                  <c:v>3337.4545454545455</c:v>
                </c:pt>
                <c:pt idx="9">
                  <c:v>11744</c:v>
                </c:pt>
                <c:pt idx="10">
                  <c:v>10765.6</c:v>
                </c:pt>
                <c:pt idx="11">
                  <c:v>12109.333333333334</c:v>
                </c:pt>
                <c:pt idx="12">
                  <c:v>14071</c:v>
                </c:pt>
                <c:pt idx="13">
                  <c:v>15876.888888888889</c:v>
                </c:pt>
                <c:pt idx="14">
                  <c:v>10734</c:v>
                </c:pt>
                <c:pt idx="15">
                  <c:v>11004.4</c:v>
                </c:pt>
                <c:pt idx="16">
                  <c:v>10416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3-4D79-85D2-CAF060656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3333183"/>
        <c:axId val="1642168927"/>
      </c:barChart>
      <c:catAx>
        <c:axId val="109333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642168927"/>
        <c:crosses val="autoZero"/>
        <c:auto val="1"/>
        <c:lblAlgn val="ctr"/>
        <c:lblOffset val="100"/>
        <c:noMultiLvlLbl val="0"/>
      </c:catAx>
      <c:valAx>
        <c:axId val="164216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E</a:t>
                </a:r>
                <a:r>
                  <a:rPr lang="ca-ES" b="1" baseline="-25000"/>
                  <a:t>MAX</a:t>
                </a:r>
                <a:r>
                  <a:rPr lang="ca-ES" b="1"/>
                  <a:t>/t [mJ/(h</a:t>
                </a:r>
                <a:r>
                  <a:rPr lang="ca-ES" b="1" baseline="0"/>
                  <a:t> </a:t>
                </a:r>
                <a:r>
                  <a:rPr lang="ca-ES" b="1"/>
                  <a:t>cm</a:t>
                </a:r>
                <a:r>
                  <a:rPr lang="ca-ES" b="1" baseline="30000"/>
                  <a:t>2</a:t>
                </a:r>
                <a:r>
                  <a:rPr lang="ca-ES" b="1"/>
                  <a:t>)]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09333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6-4FE8-A92F-416517E88C15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6-4FE8-A92F-416517E88C15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6-4FE8-A92F-416517E88C15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C6-4FE8-A92F-416517E88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0</a:t>
            </a:r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Models!$V$3:$V$10</c:f>
              <c:numCache>
                <c:formatCode>0.00\ "μM"</c:formatCode>
                <c:ptCount val="8"/>
                <c:pt idx="0">
                  <c:v>101.51070047455509</c:v>
                </c:pt>
                <c:pt idx="1">
                  <c:v>38.695140000000002</c:v>
                </c:pt>
                <c:pt idx="2">
                  <c:v>102.05936313618064</c:v>
                </c:pt>
                <c:pt idx="3">
                  <c:v>66.680455481321076</c:v>
                </c:pt>
                <c:pt idx="4">
                  <c:v>66.178370607234825</c:v>
                </c:pt>
                <c:pt idx="5">
                  <c:v>66.061148660644932</c:v>
                </c:pt>
                <c:pt idx="6">
                  <c:v>26.912420000000001</c:v>
                </c:pt>
                <c:pt idx="7">
                  <c:v>112.66234544043354</c:v>
                </c:pt>
              </c:numCache>
            </c:numRef>
          </c:xVal>
          <c:yVal>
            <c:numRef>
              <c:f>Models!$W$3:$W$10</c:f>
              <c:numCache>
                <c:formatCode>0.00E+00</c:formatCode>
                <c:ptCount val="8"/>
                <c:pt idx="0">
                  <c:v>4.398589446356088E-3</c:v>
                </c:pt>
                <c:pt idx="1">
                  <c:v>2.4399999999999999E-3</c:v>
                </c:pt>
                <c:pt idx="2">
                  <c:v>4.3287163118609553E-3</c:v>
                </c:pt>
                <c:pt idx="3">
                  <c:v>3.0677578654494902E-3</c:v>
                </c:pt>
                <c:pt idx="4">
                  <c:v>2.8373712241432487E-3</c:v>
                </c:pt>
                <c:pt idx="5">
                  <c:v>2.9089806014134323E-3</c:v>
                </c:pt>
                <c:pt idx="6">
                  <c:v>1.6833393379605066E-3</c:v>
                </c:pt>
                <c:pt idx="7">
                  <c:v>5.6386537137396399E-3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54-41AD-A7DB-9EDC84807D29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(Models!$Z$3:$Z$5,Models!$Z$9:$Z$10)</c:f>
              <c:numCache>
                <c:formatCode>0.00\ "μM"</c:formatCode>
                <c:ptCount val="5"/>
                <c:pt idx="0">
                  <c:v>101.00136403937692</c:v>
                </c:pt>
                <c:pt idx="1">
                  <c:v>39.165736120183979</c:v>
                </c:pt>
                <c:pt idx="2">
                  <c:v>101.13680668633177</c:v>
                </c:pt>
                <c:pt idx="3">
                  <c:v>26.852027839152587</c:v>
                </c:pt>
                <c:pt idx="4">
                  <c:v>112.91794865424245</c:v>
                </c:pt>
              </c:numCache>
            </c:numRef>
          </c:xVal>
          <c:yVal>
            <c:numRef>
              <c:f>(Models!$AA$3:$AA$5,Models!$AA$9:$AA$10)</c:f>
              <c:numCache>
                <c:formatCode>0.00E+00</c:formatCode>
                <c:ptCount val="5"/>
                <c:pt idx="0">
                  <c:v>5.0939951513767666E-3</c:v>
                </c:pt>
                <c:pt idx="1">
                  <c:v>2.6830764548184381E-3</c:v>
                </c:pt>
                <c:pt idx="2">
                  <c:v>4.5837703857312699E-3</c:v>
                </c:pt>
                <c:pt idx="3">
                  <c:v>1.7155735776495195E-3</c:v>
                </c:pt>
                <c:pt idx="4">
                  <c:v>6.216066929240531E-3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54-41AD-A7DB-9EDC84807D29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Models!$V$11:$V$18</c:f>
              <c:numCache>
                <c:formatCode>0.00\ "μM"</c:formatCode>
                <c:ptCount val="8"/>
                <c:pt idx="0">
                  <c:v>13.405810929166245</c:v>
                </c:pt>
                <c:pt idx="1">
                  <c:v>26.967251492554603</c:v>
                </c:pt>
                <c:pt idx="2">
                  <c:v>30.87650138832133</c:v>
                </c:pt>
                <c:pt idx="3">
                  <c:v>32.731652210985033</c:v>
                </c:pt>
                <c:pt idx="4">
                  <c:v>31.840175958878714</c:v>
                </c:pt>
                <c:pt idx="5">
                  <c:v>62.720289672829757</c:v>
                </c:pt>
                <c:pt idx="6">
                  <c:v>72.006227616197251</c:v>
                </c:pt>
                <c:pt idx="7">
                  <c:v>95.000004455147987</c:v>
                </c:pt>
              </c:numCache>
            </c:numRef>
          </c:xVal>
          <c:yVal>
            <c:numRef>
              <c:f>Models!$W$11:$W$18</c:f>
              <c:numCache>
                <c:formatCode>0.00E+00</c:formatCode>
                <c:ptCount val="8"/>
                <c:pt idx="0">
                  <c:v>5.0995578327446621E-4</c:v>
                </c:pt>
                <c:pt idx="1">
                  <c:v>7.4973609476042117E-4</c:v>
                </c:pt>
                <c:pt idx="2">
                  <c:v>8.2641347878289388E-4</c:v>
                </c:pt>
                <c:pt idx="3">
                  <c:v>6.8213877593803842E-4</c:v>
                </c:pt>
                <c:pt idx="4">
                  <c:v>6.5629990669573092E-4</c:v>
                </c:pt>
                <c:pt idx="5">
                  <c:v>1.8742716378117178E-3</c:v>
                </c:pt>
                <c:pt idx="6">
                  <c:v>1.7318044883396955E-3</c:v>
                </c:pt>
                <c:pt idx="7">
                  <c:v>2.0405961165582067E-3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54-41AD-A7DB-9EDC84807D29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Models!$Z$11:$Z$18</c:f>
              <c:numCache>
                <c:formatCode>0.00\ "μM"</c:formatCode>
                <c:ptCount val="8"/>
                <c:pt idx="0">
                  <c:v>13.106464510728111</c:v>
                </c:pt>
                <c:pt idx="1">
                  <c:v>25.821513208488724</c:v>
                </c:pt>
                <c:pt idx="2">
                  <c:v>30.000000287499624</c:v>
                </c:pt>
                <c:pt idx="3">
                  <c:v>31.286758428023404</c:v>
                </c:pt>
                <c:pt idx="4">
                  <c:v>31.333910822898783</c:v>
                </c:pt>
                <c:pt idx="5">
                  <c:v>65.007852455211548</c:v>
                </c:pt>
                <c:pt idx="6">
                  <c:v>71.168465864600478</c:v>
                </c:pt>
                <c:pt idx="7">
                  <c:v>95.000006155439436</c:v>
                </c:pt>
              </c:numCache>
            </c:numRef>
          </c:xVal>
          <c:yVal>
            <c:numRef>
              <c:f>Models!$AA$11:$AA$18</c:f>
              <c:numCache>
                <c:formatCode>0.00E+00</c:formatCode>
                <c:ptCount val="8"/>
                <c:pt idx="0">
                  <c:v>5.335062122588045E-4</c:v>
                </c:pt>
                <c:pt idx="1">
                  <c:v>7.2451181898033445E-4</c:v>
                </c:pt>
                <c:pt idx="2">
                  <c:v>8.581055527085307E-4</c:v>
                </c:pt>
                <c:pt idx="3">
                  <c:v>7.238998543280359E-4</c:v>
                </c:pt>
                <c:pt idx="4">
                  <c:v>6.4518474586362166E-4</c:v>
                </c:pt>
                <c:pt idx="5">
                  <c:v>2.2831507818083232E-3</c:v>
                </c:pt>
                <c:pt idx="6">
                  <c:v>1.8431967104622197E-3</c:v>
                </c:pt>
                <c:pt idx="7">
                  <c:v>2.260095511301395E-3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54-41AD-A7DB-9EDC84807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ER Simplificat</a:t>
            </a:r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Models!$AP$3:$AP$10</c:f>
              <c:numCache>
                <c:formatCode>0.00\ "μM"</c:formatCode>
                <c:ptCount val="8"/>
                <c:pt idx="0">
                  <c:v>101.49010928935201</c:v>
                </c:pt>
                <c:pt idx="1">
                  <c:v>39.405832077268265</c:v>
                </c:pt>
                <c:pt idx="2">
                  <c:v>101.99965435934661</c:v>
                </c:pt>
                <c:pt idx="3">
                  <c:v>66.948006168057134</c:v>
                </c:pt>
                <c:pt idx="4">
                  <c:v>66.176561166086699</c:v>
                </c:pt>
                <c:pt idx="5">
                  <c:v>67.641684719537139</c:v>
                </c:pt>
                <c:pt idx="6">
                  <c:v>27.658479546418214</c:v>
                </c:pt>
                <c:pt idx="7">
                  <c:v>112.31890309684661</c:v>
                </c:pt>
              </c:numCache>
            </c:numRef>
          </c:xVal>
          <c:yVal>
            <c:numRef>
              <c:f>Models!$AQ$3:$AQ$10</c:f>
              <c:numCache>
                <c:formatCode>0.00E+00</c:formatCode>
                <c:ptCount val="8"/>
                <c:pt idx="0">
                  <c:v>4.587632221526367E-3</c:v>
                </c:pt>
                <c:pt idx="1">
                  <c:v>2.6854279566278145E-3</c:v>
                </c:pt>
                <c:pt idx="2">
                  <c:v>4.2185921792073549E-3</c:v>
                </c:pt>
                <c:pt idx="3">
                  <c:v>3.1061680357640478E-3</c:v>
                </c:pt>
                <c:pt idx="4">
                  <c:v>2.9262036865938127E-3</c:v>
                </c:pt>
                <c:pt idx="5">
                  <c:v>3.0195627002644709E-3</c:v>
                </c:pt>
                <c:pt idx="6">
                  <c:v>1.8590340909727589E-3</c:v>
                </c:pt>
                <c:pt idx="7">
                  <c:v>5.5646206222088211E-3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CF-4D0C-9E46-101FA6A9F0D0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(Models!$AT$3:$AT$5,Models!$AT$9:$AT$10)</c:f>
              <c:numCache>
                <c:formatCode>0.00\ "μM"</c:formatCode>
                <c:ptCount val="5"/>
                <c:pt idx="0">
                  <c:v>101.09018704251939</c:v>
                </c:pt>
                <c:pt idx="1">
                  <c:v>38.935622350095009</c:v>
                </c:pt>
                <c:pt idx="2">
                  <c:v>100.69649112796445</c:v>
                </c:pt>
                <c:pt idx="3">
                  <c:v>26.666763938369328</c:v>
                </c:pt>
                <c:pt idx="4">
                  <c:v>112.13384057822273</c:v>
                </c:pt>
              </c:numCache>
            </c:numRef>
          </c:xVal>
          <c:yVal>
            <c:numRef>
              <c:f>(Models!$AU$3:$AU$5,Models!$AU$9:$AU$10)</c:f>
              <c:numCache>
                <c:formatCode>0.00E+00</c:formatCode>
                <c:ptCount val="5"/>
                <c:pt idx="0">
                  <c:v>5.1586246157271356E-3</c:v>
                </c:pt>
                <c:pt idx="1">
                  <c:v>2.8738389671115645E-3</c:v>
                </c:pt>
                <c:pt idx="2">
                  <c:v>4.5800968692588564E-3</c:v>
                </c:pt>
                <c:pt idx="3">
                  <c:v>1.8279241942117249E-3</c:v>
                </c:pt>
                <c:pt idx="4">
                  <c:v>6.2435573448793597E-3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CF-4D0C-9E46-101FA6A9F0D0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Models!$AP$11:$AP$18</c:f>
              <c:numCache>
                <c:formatCode>0.00\ "μM"</c:formatCode>
                <c:ptCount val="8"/>
                <c:pt idx="0">
                  <c:v>13.427161148076095</c:v>
                </c:pt>
                <c:pt idx="1">
                  <c:v>26.500903642467346</c:v>
                </c:pt>
                <c:pt idx="2">
                  <c:v>31.026240601331949</c:v>
                </c:pt>
                <c:pt idx="3">
                  <c:v>32.807239739347601</c:v>
                </c:pt>
                <c:pt idx="4">
                  <c:v>31.835690554297788</c:v>
                </c:pt>
                <c:pt idx="5">
                  <c:v>63.060533471522156</c:v>
                </c:pt>
                <c:pt idx="6">
                  <c:v>72.981852036219308</c:v>
                </c:pt>
                <c:pt idx="7">
                  <c:v>95.000017450619922</c:v>
                </c:pt>
              </c:numCache>
            </c:numRef>
          </c:xVal>
          <c:yVal>
            <c:numRef>
              <c:f>Models!$AQ$11:$AQ$18</c:f>
              <c:numCache>
                <c:formatCode>0.00E+00</c:formatCode>
                <c:ptCount val="8"/>
                <c:pt idx="0">
                  <c:v>5.7133036250379466E-4</c:v>
                </c:pt>
                <c:pt idx="1">
                  <c:v>7.3541446595892194E-4</c:v>
                </c:pt>
                <c:pt idx="2">
                  <c:v>8.7608922751994812E-4</c:v>
                </c:pt>
                <c:pt idx="3">
                  <c:v>7.1626521674456869E-4</c:v>
                </c:pt>
                <c:pt idx="4">
                  <c:v>7.0239464186065486E-4</c:v>
                </c:pt>
                <c:pt idx="5">
                  <c:v>1.9601502797239115E-3</c:v>
                </c:pt>
                <c:pt idx="6">
                  <c:v>1.8244719847110894E-3</c:v>
                </c:pt>
                <c:pt idx="7">
                  <c:v>2.0423809696504414E-3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CF-4D0C-9E46-101FA6A9F0D0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Models!$AT$11:$AT$18</c:f>
              <c:numCache>
                <c:formatCode>0.00\ "μM"</c:formatCode>
                <c:ptCount val="8"/>
                <c:pt idx="0">
                  <c:v>13.193809832540682</c:v>
                </c:pt>
                <c:pt idx="1">
                  <c:v>25.866868749999998</c:v>
                </c:pt>
                <c:pt idx="2">
                  <c:v>30.018544723443064</c:v>
                </c:pt>
                <c:pt idx="3">
                  <c:v>31.400468089659782</c:v>
                </c:pt>
                <c:pt idx="4">
                  <c:v>32.117668342921718</c:v>
                </c:pt>
                <c:pt idx="5">
                  <c:v>63.436067678214897</c:v>
                </c:pt>
                <c:pt idx="6">
                  <c:v>71.319962546459692</c:v>
                </c:pt>
                <c:pt idx="7">
                  <c:v>95.410822983535994</c:v>
                </c:pt>
              </c:numCache>
            </c:numRef>
          </c:xVal>
          <c:yVal>
            <c:numRef>
              <c:f>Models!$AU$11:$AU$18</c:f>
              <c:numCache>
                <c:formatCode>0.00E+00</c:formatCode>
                <c:ptCount val="8"/>
                <c:pt idx="0">
                  <c:v>6.0439825541895359E-4</c:v>
                </c:pt>
                <c:pt idx="1">
                  <c:v>7.7312273132890217E-4</c:v>
                </c:pt>
                <c:pt idx="2">
                  <c:v>9.1606907100369353E-4</c:v>
                </c:pt>
                <c:pt idx="3">
                  <c:v>7.660577796175192E-4</c:v>
                </c:pt>
                <c:pt idx="4">
                  <c:v>7.5580331236828758E-4</c:v>
                </c:pt>
                <c:pt idx="5">
                  <c:v>2.2446070787939059E-3</c:v>
                </c:pt>
                <c:pt idx="6">
                  <c:v>1.8897062655594678E-3</c:v>
                </c:pt>
                <c:pt idx="7">
                  <c:v>2.3882145027974218E-3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CF-4D0C-9E46-101FA6A9F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α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ER</a:t>
            </a:r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Models!$AD$3:$AD$10</c:f>
              <c:numCache>
                <c:formatCode>0.00\ "μM"</c:formatCode>
                <c:ptCount val="8"/>
                <c:pt idx="0">
                  <c:v>101.86266043230015</c:v>
                </c:pt>
                <c:pt idx="1">
                  <c:v>38.952496631011961</c:v>
                </c:pt>
                <c:pt idx="2">
                  <c:v>101.80448043643045</c:v>
                </c:pt>
                <c:pt idx="3">
                  <c:v>66.715497039407396</c:v>
                </c:pt>
                <c:pt idx="4">
                  <c:v>66.238647172168598</c:v>
                </c:pt>
                <c:pt idx="5">
                  <c:v>66.180454705048476</c:v>
                </c:pt>
                <c:pt idx="6">
                  <c:v>26.616698296075068</c:v>
                </c:pt>
                <c:pt idx="7">
                  <c:v>113.3457840739506</c:v>
                </c:pt>
              </c:numCache>
            </c:numRef>
          </c:xVal>
          <c:yVal>
            <c:numRef>
              <c:f>Models!$AE$3:$AE$10</c:f>
              <c:numCache>
                <c:formatCode>0.00E+00</c:formatCode>
                <c:ptCount val="8"/>
                <c:pt idx="0">
                  <c:v>4.486427893531824E-2</c:v>
                </c:pt>
                <c:pt idx="1">
                  <c:v>6.9647025324335416E-4</c:v>
                </c:pt>
                <c:pt idx="2">
                  <c:v>3.1186868656096073E-3</c:v>
                </c:pt>
                <c:pt idx="3">
                  <c:v>2.9648076680038774E-2</c:v>
                </c:pt>
                <c:pt idx="4">
                  <c:v>2.8441119057426054E-2</c:v>
                </c:pt>
                <c:pt idx="5">
                  <c:v>2.0251569691754494E-2</c:v>
                </c:pt>
                <c:pt idx="6">
                  <c:v>6.149440109434924E-4</c:v>
                </c:pt>
                <c:pt idx="7">
                  <c:v>5.0052728027912191E-2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6-43BB-A302-FB8189FE130F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(Models!$AJ$3:$AJ$5,Models!$AJ$9:$AJ$10)</c:f>
              <c:numCache>
                <c:formatCode>0.00\ "μM"</c:formatCode>
                <c:ptCount val="5"/>
                <c:pt idx="0">
                  <c:v>101.40052589570254</c:v>
                </c:pt>
                <c:pt idx="1">
                  <c:v>38.590401048885859</c:v>
                </c:pt>
                <c:pt idx="2">
                  <c:v>100.7748027646299</c:v>
                </c:pt>
                <c:pt idx="3">
                  <c:v>26.912041219294363</c:v>
                </c:pt>
                <c:pt idx="4">
                  <c:v>113.45113844650315</c:v>
                </c:pt>
              </c:numCache>
            </c:numRef>
          </c:xVal>
          <c:yVal>
            <c:numRef>
              <c:f>(Models!$AK$3:$AK$5,Models!$AK$9:$AK$10)</c:f>
              <c:numCache>
                <c:formatCode>0.00E+00</c:formatCode>
                <c:ptCount val="5"/>
                <c:pt idx="0">
                  <c:v>8.6106284892016136E-3</c:v>
                </c:pt>
                <c:pt idx="1">
                  <c:v>1.5797401220684942E-2</c:v>
                </c:pt>
                <c:pt idx="2">
                  <c:v>4.6728712177747801E-2</c:v>
                </c:pt>
                <c:pt idx="3">
                  <c:v>1.1127493998209876E-2</c:v>
                </c:pt>
                <c:pt idx="4">
                  <c:v>4.0974825533786723E-2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6-43BB-A302-FB8189FE130F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Models!$AD$11:$AD$18</c:f>
              <c:numCache>
                <c:formatCode>0.00\ "μM"</c:formatCode>
                <c:ptCount val="8"/>
                <c:pt idx="0">
                  <c:v>13.427577793354038</c:v>
                </c:pt>
                <c:pt idx="1">
                  <c:v>27.452149594251846</c:v>
                </c:pt>
                <c:pt idx="2">
                  <c:v>30.853967734468736</c:v>
                </c:pt>
                <c:pt idx="3">
                  <c:v>33.223358500977177</c:v>
                </c:pt>
                <c:pt idx="4">
                  <c:v>32.856187799260098</c:v>
                </c:pt>
                <c:pt idx="5">
                  <c:v>63.864061685608299</c:v>
                </c:pt>
                <c:pt idx="6">
                  <c:v>74.122205496127862</c:v>
                </c:pt>
                <c:pt idx="7">
                  <c:v>95.000143545304269</c:v>
                </c:pt>
              </c:numCache>
            </c:numRef>
          </c:xVal>
          <c:yVal>
            <c:numRef>
              <c:f>Models!$AE$11:$AE$18</c:f>
              <c:numCache>
                <c:formatCode>0.00E+00</c:formatCode>
                <c:ptCount val="8"/>
                <c:pt idx="0">
                  <c:v>4.8440057433822028E-4</c:v>
                </c:pt>
                <c:pt idx="1">
                  <c:v>7.3435683608199746E-3</c:v>
                </c:pt>
                <c:pt idx="2">
                  <c:v>5.3682601678146273E-4</c:v>
                </c:pt>
                <c:pt idx="3">
                  <c:v>1.0000000112558884E-4</c:v>
                </c:pt>
                <c:pt idx="4">
                  <c:v>5.6943488006859424E-4</c:v>
                </c:pt>
                <c:pt idx="5">
                  <c:v>5.3534396911680219E-3</c:v>
                </c:pt>
                <c:pt idx="6">
                  <c:v>1.0000000825213792E-4</c:v>
                </c:pt>
                <c:pt idx="7">
                  <c:v>1.0000001407324025E-4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96-43BB-A302-FB8189FE130F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Models!$AJ$11:$AJ$18</c:f>
              <c:numCache>
                <c:formatCode>0.00\ "μM"</c:formatCode>
                <c:ptCount val="8"/>
                <c:pt idx="0">
                  <c:v>13.612120957631628</c:v>
                </c:pt>
                <c:pt idx="1">
                  <c:v>26.330849638418048</c:v>
                </c:pt>
                <c:pt idx="2">
                  <c:v>31.315589938341109</c:v>
                </c:pt>
                <c:pt idx="3">
                  <c:v>32.100902804847124</c:v>
                </c:pt>
                <c:pt idx="4">
                  <c:v>32.892751438358616</c:v>
                </c:pt>
                <c:pt idx="5">
                  <c:v>62.743481148228597</c:v>
                </c:pt>
                <c:pt idx="6">
                  <c:v>73.226383865119075</c:v>
                </c:pt>
                <c:pt idx="7">
                  <c:v>95.0000167940902</c:v>
                </c:pt>
              </c:numCache>
            </c:numRef>
          </c:xVal>
          <c:yVal>
            <c:numRef>
              <c:f>Models!$AK$11:$AK$18</c:f>
              <c:numCache>
                <c:formatCode>0.00E+00</c:formatCode>
                <c:ptCount val="8"/>
                <c:pt idx="0">
                  <c:v>1.0000061376859354E-4</c:v>
                </c:pt>
                <c:pt idx="1">
                  <c:v>1.7643042450317124E-4</c:v>
                </c:pt>
                <c:pt idx="2">
                  <c:v>1.0000006363278432E-4</c:v>
                </c:pt>
                <c:pt idx="3">
                  <c:v>1.0000000041518971E-4</c:v>
                </c:pt>
                <c:pt idx="4">
                  <c:v>1.0660167259301552E-4</c:v>
                </c:pt>
                <c:pt idx="5">
                  <c:v>2.5645181098235119E-4</c:v>
                </c:pt>
                <c:pt idx="6">
                  <c:v>1.0016261966175933E-4</c:v>
                </c:pt>
                <c:pt idx="7">
                  <c:v>2.4467148746158939E-4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96-43BB-A302-FB8189FE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α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ER</a:t>
            </a:r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Models!$AD$3:$AD$10</c:f>
              <c:numCache>
                <c:formatCode>0.00\ "μM"</c:formatCode>
                <c:ptCount val="8"/>
                <c:pt idx="0">
                  <c:v>101.86266043230015</c:v>
                </c:pt>
                <c:pt idx="1">
                  <c:v>38.952496631011961</c:v>
                </c:pt>
                <c:pt idx="2">
                  <c:v>101.80448043643045</c:v>
                </c:pt>
                <c:pt idx="3">
                  <c:v>66.715497039407396</c:v>
                </c:pt>
                <c:pt idx="4">
                  <c:v>66.238647172168598</c:v>
                </c:pt>
                <c:pt idx="5">
                  <c:v>66.180454705048476</c:v>
                </c:pt>
                <c:pt idx="6">
                  <c:v>26.616698296075068</c:v>
                </c:pt>
                <c:pt idx="7">
                  <c:v>113.3457840739506</c:v>
                </c:pt>
              </c:numCache>
            </c:numRef>
          </c:xVal>
          <c:yVal>
            <c:numRef>
              <c:f>Models!$AF$3:$AF$10</c:f>
              <c:numCache>
                <c:formatCode>0.00E+00</c:formatCode>
                <c:ptCount val="8"/>
                <c:pt idx="0">
                  <c:v>9.9871309830674999</c:v>
                </c:pt>
                <c:pt idx="1">
                  <c:v>0.23554172830304784</c:v>
                </c:pt>
                <c:pt idx="2">
                  <c:v>0.73231709373574894</c:v>
                </c:pt>
                <c:pt idx="3">
                  <c:v>9.999928734972098</c:v>
                </c:pt>
                <c:pt idx="4">
                  <c:v>9.9969502233411305</c:v>
                </c:pt>
                <c:pt idx="5">
                  <c:v>7.2713303175933799</c:v>
                </c:pt>
                <c:pt idx="6">
                  <c:v>0.3090085397035377</c:v>
                </c:pt>
                <c:pt idx="7">
                  <c:v>8.9678569502260661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5-46E6-A007-0AE3938F46A7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(Models!$AJ$3:$AJ$5,Models!$AJ$9:$AJ$10)</c:f>
              <c:numCache>
                <c:formatCode>0.00\ "μM"</c:formatCode>
                <c:ptCount val="5"/>
                <c:pt idx="0">
                  <c:v>101.40052589570254</c:v>
                </c:pt>
                <c:pt idx="1">
                  <c:v>38.590401048885859</c:v>
                </c:pt>
                <c:pt idx="2">
                  <c:v>100.7748027646299</c:v>
                </c:pt>
                <c:pt idx="3">
                  <c:v>26.912041219294363</c:v>
                </c:pt>
                <c:pt idx="4">
                  <c:v>113.45113844650315</c:v>
                </c:pt>
              </c:numCache>
            </c:numRef>
          </c:xVal>
          <c:yVal>
            <c:numRef>
              <c:f>(Models!$AL$3:$AL$5,Models!$AL$9:$AL$10)</c:f>
              <c:numCache>
                <c:formatCode>0.00E+00</c:formatCode>
                <c:ptCount val="5"/>
                <c:pt idx="0">
                  <c:v>1.6649792025043224</c:v>
                </c:pt>
                <c:pt idx="1">
                  <c:v>5.8683250926030386</c:v>
                </c:pt>
                <c:pt idx="2">
                  <c:v>9.993534092170842</c:v>
                </c:pt>
                <c:pt idx="3">
                  <c:v>6.3435629543837626</c:v>
                </c:pt>
                <c:pt idx="4">
                  <c:v>6.470064342934891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B5-46E6-A007-0AE3938F46A7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Models!$AD$11:$AD$18</c:f>
              <c:numCache>
                <c:formatCode>0.00\ "μM"</c:formatCode>
                <c:ptCount val="8"/>
                <c:pt idx="0">
                  <c:v>13.427577793354038</c:v>
                </c:pt>
                <c:pt idx="1">
                  <c:v>27.452149594251846</c:v>
                </c:pt>
                <c:pt idx="2">
                  <c:v>30.853967734468736</c:v>
                </c:pt>
                <c:pt idx="3">
                  <c:v>33.223358500977177</c:v>
                </c:pt>
                <c:pt idx="4">
                  <c:v>32.856187799260098</c:v>
                </c:pt>
                <c:pt idx="5">
                  <c:v>63.864061685608299</c:v>
                </c:pt>
                <c:pt idx="6">
                  <c:v>74.122205496127862</c:v>
                </c:pt>
                <c:pt idx="7">
                  <c:v>95.000143545304269</c:v>
                </c:pt>
              </c:numCache>
            </c:numRef>
          </c:xVal>
          <c:yVal>
            <c:numRef>
              <c:f>Models!$AF$11:$AF$18</c:f>
              <c:numCache>
                <c:formatCode>0.00E+00</c:formatCode>
                <c:ptCount val="8"/>
                <c:pt idx="0">
                  <c:v>0.8271542907963888</c:v>
                </c:pt>
                <c:pt idx="1">
                  <c:v>9.2005832863538899</c:v>
                </c:pt>
                <c:pt idx="2">
                  <c:v>0.60124252844415904</c:v>
                </c:pt>
                <c:pt idx="3">
                  <c:v>9.8697882238437132E-2</c:v>
                </c:pt>
                <c:pt idx="4">
                  <c:v>0.75558760774744038</c:v>
                </c:pt>
                <c:pt idx="5">
                  <c:v>2.7087432837978991</c:v>
                </c:pt>
                <c:pt idx="6">
                  <c:v>3.381198677925653E-2</c:v>
                </c:pt>
                <c:pt idx="7">
                  <c:v>3.6091056435985917E-2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B5-46E6-A007-0AE3938F46A7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Models!$AJ$11:$AJ$18</c:f>
              <c:numCache>
                <c:formatCode>0.00\ "μM"</c:formatCode>
                <c:ptCount val="8"/>
                <c:pt idx="0">
                  <c:v>13.612120957631628</c:v>
                </c:pt>
                <c:pt idx="1">
                  <c:v>26.330849638418048</c:v>
                </c:pt>
                <c:pt idx="2">
                  <c:v>31.315589938341109</c:v>
                </c:pt>
                <c:pt idx="3">
                  <c:v>32.100902804847124</c:v>
                </c:pt>
                <c:pt idx="4">
                  <c:v>32.892751438358616</c:v>
                </c:pt>
                <c:pt idx="5">
                  <c:v>62.743481148228597</c:v>
                </c:pt>
                <c:pt idx="6">
                  <c:v>73.226383865119075</c:v>
                </c:pt>
                <c:pt idx="7">
                  <c:v>95.0000167940902</c:v>
                </c:pt>
              </c:numCache>
            </c:numRef>
          </c:xVal>
          <c:yVal>
            <c:numRef>
              <c:f>Models!$AL$11:$AL$18</c:f>
              <c:numCache>
                <c:formatCode>0.00E+00</c:formatCode>
                <c:ptCount val="8"/>
                <c:pt idx="0">
                  <c:v>6.0150309624228925E-2</c:v>
                </c:pt>
                <c:pt idx="1">
                  <c:v>0.1733538916429346</c:v>
                </c:pt>
                <c:pt idx="2">
                  <c:v>5.7480818264156554E-2</c:v>
                </c:pt>
                <c:pt idx="3">
                  <c:v>8.3304604955521902E-2</c:v>
                </c:pt>
                <c:pt idx="4">
                  <c:v>8.9072122537269899E-2</c:v>
                </c:pt>
                <c:pt idx="5">
                  <c:v>9.898805192641362E-2</c:v>
                </c:pt>
                <c:pt idx="6">
                  <c:v>2.9766662576432328E-2</c:v>
                </c:pt>
                <c:pt idx="7">
                  <c:v>8.8118448124995072E-2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B5-46E6-A007-0AE3938F4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β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</a:t>
            </a:r>
            <a:r>
              <a:rPr lang="ca-ES" baseline="0"/>
              <a:t> n m</a:t>
            </a:r>
            <a:endParaRPr lang="ca-ES"/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Models!$B$3:$B$10</c:f>
              <c:numCache>
                <c:formatCode>0.00\ "μM"</c:formatCode>
                <c:ptCount val="8"/>
                <c:pt idx="0">
                  <c:v>101.00000034864863</c:v>
                </c:pt>
                <c:pt idx="1">
                  <c:v>40.002552004145457</c:v>
                </c:pt>
                <c:pt idx="2">
                  <c:v>97.993603995201994</c:v>
                </c:pt>
                <c:pt idx="3">
                  <c:v>67.007075191159657</c:v>
                </c:pt>
                <c:pt idx="4">
                  <c:v>67.995435519183957</c:v>
                </c:pt>
                <c:pt idx="5">
                  <c:v>71.975000755754351</c:v>
                </c:pt>
                <c:pt idx="6">
                  <c:v>26.911790944458438</c:v>
                </c:pt>
                <c:pt idx="7">
                  <c:v>111.50185083647216</c:v>
                </c:pt>
              </c:numCache>
            </c:numRef>
          </c:xVal>
          <c:yVal>
            <c:numRef>
              <c:f>Models!$C$3:$C$10</c:f>
              <c:numCache>
                <c:formatCode>0.00E+00</c:formatCode>
                <c:ptCount val="8"/>
                <c:pt idx="0">
                  <c:v>4.9999892852493281E-5</c:v>
                </c:pt>
                <c:pt idx="1">
                  <c:v>5.9917989721187095E-5</c:v>
                </c:pt>
                <c:pt idx="2">
                  <c:v>3.0050022887152777E-5</c:v>
                </c:pt>
                <c:pt idx="3">
                  <c:v>4.8359505482111134E-5</c:v>
                </c:pt>
                <c:pt idx="4">
                  <c:v>5.0704648324699977E-5</c:v>
                </c:pt>
                <c:pt idx="5">
                  <c:v>4.8574012687187258E-5</c:v>
                </c:pt>
                <c:pt idx="6">
                  <c:v>5.5016635402543938E-5</c:v>
                </c:pt>
                <c:pt idx="7">
                  <c:v>5.7116816505911189E-5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E-41B3-9DFA-60288F4DF951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(Models!$H$3:$H$5,Models!$H$9:$H$10)</c:f>
              <c:numCache>
                <c:formatCode>0.00\ "μM"</c:formatCode>
                <c:ptCount val="5"/>
                <c:pt idx="0">
                  <c:v>97.999864052414651</c:v>
                </c:pt>
                <c:pt idx="1">
                  <c:v>39.795839692525441</c:v>
                </c:pt>
                <c:pt idx="2">
                  <c:v>97.99999998904778</c:v>
                </c:pt>
                <c:pt idx="3">
                  <c:v>28.740971454812868</c:v>
                </c:pt>
                <c:pt idx="4">
                  <c:v>118.8922097048091</c:v>
                </c:pt>
              </c:numCache>
            </c:numRef>
          </c:xVal>
          <c:yVal>
            <c:numRef>
              <c:f>(Models!$I$3:$I$5,Models!$I$9:$I$10)</c:f>
              <c:numCache>
                <c:formatCode>0.00E+00</c:formatCode>
                <c:ptCount val="5"/>
                <c:pt idx="0">
                  <c:v>3.0875519293437818E-5</c:v>
                </c:pt>
                <c:pt idx="1">
                  <c:v>4.109471385040832E-5</c:v>
                </c:pt>
                <c:pt idx="2">
                  <c:v>4.9999999963282188E-5</c:v>
                </c:pt>
                <c:pt idx="3">
                  <c:v>9.3052647121745908E-5</c:v>
                </c:pt>
                <c:pt idx="4">
                  <c:v>3.2548155294614544E-5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7E-41B3-9DFA-60288F4DF951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Models!$B$11:$B$18</c:f>
              <c:numCache>
                <c:formatCode>0.00\ "μM"</c:formatCode>
                <c:ptCount val="8"/>
                <c:pt idx="0">
                  <c:v>13.892541549566461</c:v>
                </c:pt>
                <c:pt idx="1">
                  <c:v>27.090455783490761</c:v>
                </c:pt>
                <c:pt idx="2">
                  <c:v>32.830907220107321</c:v>
                </c:pt>
                <c:pt idx="3">
                  <c:v>33.82373011972178</c:v>
                </c:pt>
                <c:pt idx="4">
                  <c:v>33.573898258403325</c:v>
                </c:pt>
                <c:pt idx="5">
                  <c:v>64.619182568946655</c:v>
                </c:pt>
                <c:pt idx="6">
                  <c:v>76.804052533285855</c:v>
                </c:pt>
                <c:pt idx="7">
                  <c:v>96.999998757599627</c:v>
                </c:pt>
              </c:numCache>
            </c:numRef>
          </c:xVal>
          <c:yVal>
            <c:numRef>
              <c:f>Models!$C$11:$C$18</c:f>
              <c:numCache>
                <c:formatCode>0.00E+00</c:formatCode>
                <c:ptCount val="8"/>
                <c:pt idx="0">
                  <c:v>5.4127404641428544E-5</c:v>
                </c:pt>
                <c:pt idx="1">
                  <c:v>3.9297048828910587E-5</c:v>
                </c:pt>
                <c:pt idx="2">
                  <c:v>3.372025975078041E-5</c:v>
                </c:pt>
                <c:pt idx="3">
                  <c:v>5.4296368899239569E-5</c:v>
                </c:pt>
                <c:pt idx="4">
                  <c:v>3.306974151094785E-5</c:v>
                </c:pt>
                <c:pt idx="5">
                  <c:v>4.0295365382605478E-5</c:v>
                </c:pt>
                <c:pt idx="6">
                  <c:v>2.4548881459892432E-5</c:v>
                </c:pt>
                <c:pt idx="7">
                  <c:v>3.2000001413166823E-5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7E-41B3-9DFA-60288F4DF951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Models!$H$11:$H$18</c:f>
              <c:numCache>
                <c:formatCode>0.00\ "μM"</c:formatCode>
                <c:ptCount val="8"/>
                <c:pt idx="0">
                  <c:v>13.441836255342206</c:v>
                </c:pt>
                <c:pt idx="1">
                  <c:v>26.987117162770893</c:v>
                </c:pt>
                <c:pt idx="2">
                  <c:v>32.523260257654727</c:v>
                </c:pt>
                <c:pt idx="3">
                  <c:v>33.226715508590303</c:v>
                </c:pt>
                <c:pt idx="4">
                  <c:v>34.891031755298549</c:v>
                </c:pt>
                <c:pt idx="5">
                  <c:v>64.588002972657549</c:v>
                </c:pt>
                <c:pt idx="6">
                  <c:v>75.767221437925784</c:v>
                </c:pt>
                <c:pt idx="7">
                  <c:v>94.006599964418797</c:v>
                </c:pt>
              </c:numCache>
            </c:numRef>
          </c:xVal>
          <c:yVal>
            <c:numRef>
              <c:f>Models!$I$11:$I$18</c:f>
              <c:numCache>
                <c:formatCode>0.00E+00</c:formatCode>
                <c:ptCount val="8"/>
                <c:pt idx="0">
                  <c:v>3.6059984849693525E-5</c:v>
                </c:pt>
                <c:pt idx="1">
                  <c:v>4.5527705515903111E-5</c:v>
                </c:pt>
                <c:pt idx="2">
                  <c:v>2.1335324435434188E-5</c:v>
                </c:pt>
                <c:pt idx="3">
                  <c:v>5.3741991428087385E-5</c:v>
                </c:pt>
                <c:pt idx="4">
                  <c:v>3.4031359796153618E-5</c:v>
                </c:pt>
                <c:pt idx="5">
                  <c:v>3.577606847106497E-5</c:v>
                </c:pt>
                <c:pt idx="6">
                  <c:v>3.7562727862717855E-5</c:v>
                </c:pt>
                <c:pt idx="7">
                  <c:v>3.1130575075207006E-5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7E-41B3-9DFA-60288F4DF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</a:t>
            </a:r>
            <a:r>
              <a:rPr lang="ca-ES" baseline="0"/>
              <a:t> n m</a:t>
            </a:r>
            <a:endParaRPr lang="ca-ES"/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Models!$B$3:$B$10</c:f>
              <c:numCache>
                <c:formatCode>0.00\ "μM"</c:formatCode>
                <c:ptCount val="8"/>
                <c:pt idx="0">
                  <c:v>101.00000034864863</c:v>
                </c:pt>
                <c:pt idx="1">
                  <c:v>40.002552004145457</c:v>
                </c:pt>
                <c:pt idx="2">
                  <c:v>97.993603995201994</c:v>
                </c:pt>
                <c:pt idx="3">
                  <c:v>67.007075191159657</c:v>
                </c:pt>
                <c:pt idx="4">
                  <c:v>67.995435519183957</c:v>
                </c:pt>
                <c:pt idx="5">
                  <c:v>71.975000755754351</c:v>
                </c:pt>
                <c:pt idx="6">
                  <c:v>26.911790944458438</c:v>
                </c:pt>
                <c:pt idx="7">
                  <c:v>111.50185083647216</c:v>
                </c:pt>
              </c:numCache>
            </c:numRef>
          </c:xVal>
          <c:yVal>
            <c:numRef>
              <c:f>Models!$D$3:$D$10</c:f>
              <c:numCache>
                <c:formatCode>0.00</c:formatCode>
                <c:ptCount val="8"/>
                <c:pt idx="0">
                  <c:v>0.99900295801997196</c:v>
                </c:pt>
                <c:pt idx="1">
                  <c:v>1.096302611406585</c:v>
                </c:pt>
                <c:pt idx="2">
                  <c:v>1.1100026557336637</c:v>
                </c:pt>
                <c:pt idx="3">
                  <c:v>0.99733821566256742</c:v>
                </c:pt>
                <c:pt idx="4">
                  <c:v>1.0543114794361295</c:v>
                </c:pt>
                <c:pt idx="5">
                  <c:v>1.1266472337757503</c:v>
                </c:pt>
                <c:pt idx="6">
                  <c:v>1.1447726236237317</c:v>
                </c:pt>
                <c:pt idx="7">
                  <c:v>1.0007210485757967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A-4597-9DEC-EBCFE895490A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(Models!$H$3:$H$5,Models!$H$9:$H$10)</c:f>
              <c:numCache>
                <c:formatCode>0.00\ "μM"</c:formatCode>
                <c:ptCount val="5"/>
                <c:pt idx="0">
                  <c:v>97.999864052414651</c:v>
                </c:pt>
                <c:pt idx="1">
                  <c:v>39.795839692525441</c:v>
                </c:pt>
                <c:pt idx="2">
                  <c:v>97.99999998904778</c:v>
                </c:pt>
                <c:pt idx="3">
                  <c:v>28.740971454812868</c:v>
                </c:pt>
                <c:pt idx="4">
                  <c:v>118.8922097048091</c:v>
                </c:pt>
              </c:numCache>
            </c:numRef>
          </c:xVal>
          <c:yVal>
            <c:numRef>
              <c:f>(Models!$J$3:$J$5,Models!$J$9:$J$10)</c:f>
              <c:numCache>
                <c:formatCode>0.00</c:formatCode>
                <c:ptCount val="5"/>
                <c:pt idx="0">
                  <c:v>1.1240609544074585</c:v>
                </c:pt>
                <c:pt idx="1">
                  <c:v>1.2316831843314358</c:v>
                </c:pt>
                <c:pt idx="2">
                  <c:v>0.99999810218811036</c:v>
                </c:pt>
                <c:pt idx="3">
                  <c:v>1.1569095500898106</c:v>
                </c:pt>
                <c:pt idx="4">
                  <c:v>1.1967219035111269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A-4597-9DEC-EBCFE895490A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Models!$B$11:$B$18</c:f>
              <c:numCache>
                <c:formatCode>0.00\ "μM"</c:formatCode>
                <c:ptCount val="8"/>
                <c:pt idx="0">
                  <c:v>13.892541549566461</c:v>
                </c:pt>
                <c:pt idx="1">
                  <c:v>27.090455783490761</c:v>
                </c:pt>
                <c:pt idx="2">
                  <c:v>32.830907220107321</c:v>
                </c:pt>
                <c:pt idx="3">
                  <c:v>33.82373011972178</c:v>
                </c:pt>
                <c:pt idx="4">
                  <c:v>33.573898258403325</c:v>
                </c:pt>
                <c:pt idx="5">
                  <c:v>64.619182568946655</c:v>
                </c:pt>
                <c:pt idx="6">
                  <c:v>76.804052533285855</c:v>
                </c:pt>
                <c:pt idx="7">
                  <c:v>96.999998757599627</c:v>
                </c:pt>
              </c:numCache>
            </c:numRef>
          </c:xVal>
          <c:yVal>
            <c:numRef>
              <c:f>Models!$D$11:$D$18</c:f>
              <c:numCache>
                <c:formatCode>0.00</c:formatCode>
                <c:ptCount val="8"/>
                <c:pt idx="0">
                  <c:v>0.88234961144694435</c:v>
                </c:pt>
                <c:pt idx="1">
                  <c:v>1.0075256628504268</c:v>
                </c:pt>
                <c:pt idx="2">
                  <c:v>1.1213919103520682</c:v>
                </c:pt>
                <c:pt idx="3">
                  <c:v>0.74689916267742007</c:v>
                </c:pt>
                <c:pt idx="4">
                  <c:v>1.0025213956087833</c:v>
                </c:pt>
                <c:pt idx="5">
                  <c:v>1.003286374672181</c:v>
                </c:pt>
                <c:pt idx="6">
                  <c:v>1.1296494931472318</c:v>
                </c:pt>
                <c:pt idx="7">
                  <c:v>1.000242919921875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BA-4597-9DEC-EBCFE895490A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Models!$H$11:$H$18</c:f>
              <c:numCache>
                <c:formatCode>0.00\ "μM"</c:formatCode>
                <c:ptCount val="8"/>
                <c:pt idx="0">
                  <c:v>13.441836255342206</c:v>
                </c:pt>
                <c:pt idx="1">
                  <c:v>26.987117162770893</c:v>
                </c:pt>
                <c:pt idx="2">
                  <c:v>32.523260257654727</c:v>
                </c:pt>
                <c:pt idx="3">
                  <c:v>33.226715508590303</c:v>
                </c:pt>
                <c:pt idx="4">
                  <c:v>34.891031755298549</c:v>
                </c:pt>
                <c:pt idx="5">
                  <c:v>64.588002972657549</c:v>
                </c:pt>
                <c:pt idx="6">
                  <c:v>75.767221437925784</c:v>
                </c:pt>
                <c:pt idx="7">
                  <c:v>94.006599964418797</c:v>
                </c:pt>
              </c:numCache>
            </c:numRef>
          </c:xVal>
          <c:yVal>
            <c:numRef>
              <c:f>Models!$J$11:$J$18</c:f>
              <c:numCache>
                <c:formatCode>0.00</c:formatCode>
                <c:ptCount val="8"/>
                <c:pt idx="0">
                  <c:v>1.0442830584027467</c:v>
                </c:pt>
                <c:pt idx="1">
                  <c:v>1.0107561799585092</c:v>
                </c:pt>
                <c:pt idx="2">
                  <c:v>1.2095072613791971</c:v>
                </c:pt>
                <c:pt idx="3">
                  <c:v>1.0006912894796514</c:v>
                </c:pt>
                <c:pt idx="4">
                  <c:v>1.0693151042920563</c:v>
                </c:pt>
                <c:pt idx="5">
                  <c:v>0.94021307430879775</c:v>
                </c:pt>
                <c:pt idx="6">
                  <c:v>1.0261296139639897</c:v>
                </c:pt>
                <c:pt idx="7">
                  <c:v>0.98530447697913293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A-4597-9DEC-EBCFE8954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n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</a:t>
            </a:r>
            <a:r>
              <a:rPr lang="ca-ES" baseline="0"/>
              <a:t> n m</a:t>
            </a:r>
            <a:endParaRPr lang="ca-ES"/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Models!$B$3:$B$10</c:f>
              <c:numCache>
                <c:formatCode>0.00\ "μM"</c:formatCode>
                <c:ptCount val="8"/>
                <c:pt idx="0">
                  <c:v>101.00000034864863</c:v>
                </c:pt>
                <c:pt idx="1">
                  <c:v>40.002552004145457</c:v>
                </c:pt>
                <c:pt idx="2">
                  <c:v>97.993603995201994</c:v>
                </c:pt>
                <c:pt idx="3">
                  <c:v>67.007075191159657</c:v>
                </c:pt>
                <c:pt idx="4">
                  <c:v>67.995435519183957</c:v>
                </c:pt>
                <c:pt idx="5">
                  <c:v>71.975000755754351</c:v>
                </c:pt>
                <c:pt idx="6">
                  <c:v>26.911790944458438</c:v>
                </c:pt>
                <c:pt idx="7">
                  <c:v>111.50185083647216</c:v>
                </c:pt>
              </c:numCache>
            </c:numRef>
          </c:xVal>
          <c:yVal>
            <c:numRef>
              <c:f>Models!$E$3:$E$10</c:f>
              <c:numCache>
                <c:formatCode>0.00</c:formatCode>
                <c:ptCount val="8"/>
                <c:pt idx="0">
                  <c:v>1.0004297914079114</c:v>
                </c:pt>
                <c:pt idx="1">
                  <c:v>0.99602235385097804</c:v>
                </c:pt>
                <c:pt idx="2">
                  <c:v>1.2472173235694184</c:v>
                </c:pt>
                <c:pt idx="3">
                  <c:v>1.0104819360905302</c:v>
                </c:pt>
                <c:pt idx="4">
                  <c:v>0.74979643313143896</c:v>
                </c:pt>
                <c:pt idx="5">
                  <c:v>1.0774377280027796</c:v>
                </c:pt>
                <c:pt idx="6">
                  <c:v>1.3630914231984441</c:v>
                </c:pt>
                <c:pt idx="7">
                  <c:v>1.1353132523334291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A-4E74-9CBD-0EA316072954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(Models!$H$3:$H$5,Models!$H$9:$H$10)</c:f>
              <c:numCache>
                <c:formatCode>0.00\ "μM"</c:formatCode>
                <c:ptCount val="5"/>
                <c:pt idx="0">
                  <c:v>97.999864052414651</c:v>
                </c:pt>
                <c:pt idx="1">
                  <c:v>39.795839692525441</c:v>
                </c:pt>
                <c:pt idx="2">
                  <c:v>97.99999998904778</c:v>
                </c:pt>
                <c:pt idx="3">
                  <c:v>28.740971454812868</c:v>
                </c:pt>
                <c:pt idx="4">
                  <c:v>118.8922097048091</c:v>
                </c:pt>
              </c:numCache>
            </c:numRef>
          </c:xVal>
          <c:yVal>
            <c:numRef>
              <c:f>(Models!$K$3:$K$5,Models!$K$9:$K$10)</c:f>
              <c:numCache>
                <c:formatCode>0.00</c:formatCode>
                <c:ptCount val="5"/>
                <c:pt idx="0">
                  <c:v>1.0325445722528561</c:v>
                </c:pt>
                <c:pt idx="1">
                  <c:v>1.0699284584120439</c:v>
                </c:pt>
                <c:pt idx="2">
                  <c:v>0.99999997045862399</c:v>
                </c:pt>
                <c:pt idx="3">
                  <c:v>0.11146961442398919</c:v>
                </c:pt>
                <c:pt idx="4">
                  <c:v>4.9071833885581208E-2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9A-4E74-9CBD-0EA316072954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Models!$B$11:$B$18</c:f>
              <c:numCache>
                <c:formatCode>0.00\ "μM"</c:formatCode>
                <c:ptCount val="8"/>
                <c:pt idx="0">
                  <c:v>13.892541549566461</c:v>
                </c:pt>
                <c:pt idx="1">
                  <c:v>27.090455783490761</c:v>
                </c:pt>
                <c:pt idx="2">
                  <c:v>32.830907220107321</c:v>
                </c:pt>
                <c:pt idx="3">
                  <c:v>33.82373011972178</c:v>
                </c:pt>
                <c:pt idx="4">
                  <c:v>33.573898258403325</c:v>
                </c:pt>
                <c:pt idx="5">
                  <c:v>64.619182568946655</c:v>
                </c:pt>
                <c:pt idx="6">
                  <c:v>76.804052533285855</c:v>
                </c:pt>
                <c:pt idx="7">
                  <c:v>96.999998757599627</c:v>
                </c:pt>
              </c:numCache>
            </c:numRef>
          </c:xVal>
          <c:yVal>
            <c:numRef>
              <c:f>Models!$E$11:$E$18</c:f>
              <c:numCache>
                <c:formatCode>0.00</c:formatCode>
                <c:ptCount val="8"/>
                <c:pt idx="0">
                  <c:v>1.2470039562069348</c:v>
                </c:pt>
                <c:pt idx="1">
                  <c:v>1.0035100003753206</c:v>
                </c:pt>
                <c:pt idx="2">
                  <c:v>0.85361994054802071</c:v>
                </c:pt>
                <c:pt idx="3">
                  <c:v>1.1648615126177295</c:v>
                </c:pt>
                <c:pt idx="4">
                  <c:v>0.99986741930641987</c:v>
                </c:pt>
                <c:pt idx="5">
                  <c:v>1.0020936353390033</c:v>
                </c:pt>
                <c:pt idx="6">
                  <c:v>0.94121513592422323</c:v>
                </c:pt>
                <c:pt idx="7">
                  <c:v>1.0000593689586073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9A-4E74-9CBD-0EA316072954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Models!$H$11:$H$18</c:f>
              <c:numCache>
                <c:formatCode>0.00\ "μM"</c:formatCode>
                <c:ptCount val="8"/>
                <c:pt idx="0">
                  <c:v>13.441836255342206</c:v>
                </c:pt>
                <c:pt idx="1">
                  <c:v>26.987117162770893</c:v>
                </c:pt>
                <c:pt idx="2">
                  <c:v>32.523260257654727</c:v>
                </c:pt>
                <c:pt idx="3">
                  <c:v>33.226715508590303</c:v>
                </c:pt>
                <c:pt idx="4">
                  <c:v>34.891031755298549</c:v>
                </c:pt>
                <c:pt idx="5">
                  <c:v>64.588002972657549</c:v>
                </c:pt>
                <c:pt idx="6">
                  <c:v>75.767221437925784</c:v>
                </c:pt>
                <c:pt idx="7">
                  <c:v>94.006599964418797</c:v>
                </c:pt>
              </c:numCache>
            </c:numRef>
          </c:xVal>
          <c:yVal>
            <c:numRef>
              <c:f>Models!$K$11:$K$18</c:f>
              <c:numCache>
                <c:formatCode>0.00</c:formatCode>
                <c:ptCount val="8"/>
                <c:pt idx="0">
                  <c:v>1.308941865559802</c:v>
                </c:pt>
                <c:pt idx="1">
                  <c:v>0.87582075836518936</c:v>
                </c:pt>
                <c:pt idx="2">
                  <c:v>1.1340207606653596</c:v>
                </c:pt>
                <c:pt idx="3">
                  <c:v>0.72978559260924436</c:v>
                </c:pt>
                <c:pt idx="4">
                  <c:v>0.94495892139178972</c:v>
                </c:pt>
                <c:pt idx="5">
                  <c:v>1.4975540996854195</c:v>
                </c:pt>
                <c:pt idx="6">
                  <c:v>0.98631306304613364</c:v>
                </c:pt>
                <c:pt idx="7">
                  <c:v>1.1018108661169916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9A-4E74-9CBD-0EA316072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ER</a:t>
            </a:r>
          </a:p>
        </c:rich>
      </c:tx>
      <c:layout>
        <c:manualLayout>
          <c:xMode val="edge"/>
          <c:yMode val="edge"/>
          <c:x val="0.3574305400767778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Models!$AD$3:$AD$10</c:f>
              <c:numCache>
                <c:formatCode>0.00\ "μM"</c:formatCode>
                <c:ptCount val="8"/>
                <c:pt idx="0">
                  <c:v>101.86266043230015</c:v>
                </c:pt>
                <c:pt idx="1">
                  <c:v>38.952496631011961</c:v>
                </c:pt>
                <c:pt idx="2">
                  <c:v>101.80448043643045</c:v>
                </c:pt>
                <c:pt idx="3">
                  <c:v>66.715497039407396</c:v>
                </c:pt>
                <c:pt idx="4">
                  <c:v>66.238647172168598</c:v>
                </c:pt>
                <c:pt idx="5">
                  <c:v>66.180454705048476</c:v>
                </c:pt>
                <c:pt idx="6">
                  <c:v>26.616698296075068</c:v>
                </c:pt>
                <c:pt idx="7">
                  <c:v>113.3457840739506</c:v>
                </c:pt>
              </c:numCache>
            </c:numRef>
          </c:xVal>
          <c:yVal>
            <c:numRef>
              <c:f>Models!$AG$3:$AG$10</c:f>
              <c:numCache>
                <c:formatCode>0.00E+00</c:formatCode>
                <c:ptCount val="8"/>
                <c:pt idx="0">
                  <c:v>4.4922089248035863E-3</c:v>
                </c:pt>
                <c:pt idx="1">
                  <c:v>2.956886910277214E-3</c:v>
                </c:pt>
                <c:pt idx="2">
                  <c:v>4.2586563829888719E-3</c:v>
                </c:pt>
                <c:pt idx="3">
                  <c:v>2.9648287968645709E-3</c:v>
                </c:pt>
                <c:pt idx="4">
                  <c:v>2.8449795609686059E-3</c:v>
                </c:pt>
                <c:pt idx="5">
                  <c:v>2.7851258032872911E-3</c:v>
                </c:pt>
                <c:pt idx="6">
                  <c:v>1.9900550694601149E-3</c:v>
                </c:pt>
                <c:pt idx="7">
                  <c:v>5.5813477295320194E-3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4-4C44-881B-E375317F777A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(Models!$AJ$3:$AJ$5,Models!$AJ$9:$AJ$10)</c:f>
              <c:numCache>
                <c:formatCode>0.00\ "μM"</c:formatCode>
                <c:ptCount val="5"/>
                <c:pt idx="0">
                  <c:v>101.40052589570254</c:v>
                </c:pt>
                <c:pt idx="1">
                  <c:v>38.590401048885859</c:v>
                </c:pt>
                <c:pt idx="2">
                  <c:v>100.7748027646299</c:v>
                </c:pt>
                <c:pt idx="3">
                  <c:v>26.912041219294363</c:v>
                </c:pt>
                <c:pt idx="4">
                  <c:v>113.45113844650315</c:v>
                </c:pt>
              </c:numCache>
            </c:numRef>
          </c:xVal>
          <c:yVal>
            <c:numRef>
              <c:f>(Models!$AM$3:$AM$5,Models!$AM$9:$AM$10)</c:f>
              <c:numCache>
                <c:formatCode>0.00E+00</c:formatCode>
                <c:ptCount val="5"/>
                <c:pt idx="0">
                  <c:v>5.1716132407241041E-3</c:v>
                </c:pt>
                <c:pt idx="1">
                  <c:v>2.6919778593379904E-3</c:v>
                </c:pt>
                <c:pt idx="2">
                  <c:v>4.675894608130283E-3</c:v>
                </c:pt>
                <c:pt idx="3">
                  <c:v>1.7541394446980534E-3</c:v>
                </c:pt>
                <c:pt idx="4">
                  <c:v>6.3329857883917271E-3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4-4C44-881B-E375317F777A}"/>
            </c:ext>
          </c:extLst>
        </c:ser>
        <c:ser>
          <c:idx val="2"/>
          <c:order val="2"/>
          <c:tx>
            <c:v>Primavera_Incluint_Evaporació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Models!$AD$11:$AD$18</c:f>
              <c:numCache>
                <c:formatCode>0.00\ "μM"</c:formatCode>
                <c:ptCount val="8"/>
                <c:pt idx="0">
                  <c:v>13.427577793354038</c:v>
                </c:pt>
                <c:pt idx="1">
                  <c:v>27.452149594251846</c:v>
                </c:pt>
                <c:pt idx="2">
                  <c:v>30.853967734468736</c:v>
                </c:pt>
                <c:pt idx="3">
                  <c:v>33.223358500977177</c:v>
                </c:pt>
                <c:pt idx="4">
                  <c:v>32.856187799260098</c:v>
                </c:pt>
                <c:pt idx="5">
                  <c:v>63.864061685608299</c:v>
                </c:pt>
                <c:pt idx="6">
                  <c:v>74.122205496127862</c:v>
                </c:pt>
                <c:pt idx="7">
                  <c:v>95.000143545304269</c:v>
                </c:pt>
              </c:numCache>
            </c:numRef>
          </c:xVal>
          <c:yVal>
            <c:numRef>
              <c:f>Models!$AG$11:$AG$18</c:f>
              <c:numCache>
                <c:formatCode>0.00E+00</c:formatCode>
                <c:ptCount val="8"/>
                <c:pt idx="0">
                  <c:v>5.8562299649299614E-4</c:v>
                </c:pt>
                <c:pt idx="1">
                  <c:v>7.98163348155524E-4</c:v>
                </c:pt>
                <c:pt idx="2">
                  <c:v>8.9286101928054309E-4</c:v>
                </c:pt>
                <c:pt idx="3">
                  <c:v>1.013192976967895E-3</c:v>
                </c:pt>
                <c:pt idx="4">
                  <c:v>7.5363184127145077E-4</c:v>
                </c:pt>
                <c:pt idx="5">
                  <c:v>1.976355501530593E-3</c:v>
                </c:pt>
                <c:pt idx="6">
                  <c:v>2.9575312715278651E-3</c:v>
                </c:pt>
                <c:pt idx="7">
                  <c:v>2.7707699343910461E-3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4-4C44-881B-E375317F777A}"/>
            </c:ext>
          </c:extLst>
        </c:ser>
        <c:ser>
          <c:idx val="3"/>
          <c:order val="3"/>
          <c:tx>
            <c:v>Primavera_Excluint_Evaporació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Models!$AJ$11:$AJ$18</c:f>
              <c:numCache>
                <c:formatCode>0.00\ "μM"</c:formatCode>
                <c:ptCount val="8"/>
                <c:pt idx="0">
                  <c:v>13.612120957631628</c:v>
                </c:pt>
                <c:pt idx="1">
                  <c:v>26.330849638418048</c:v>
                </c:pt>
                <c:pt idx="2">
                  <c:v>31.315589938341109</c:v>
                </c:pt>
                <c:pt idx="3">
                  <c:v>32.100902804847124</c:v>
                </c:pt>
                <c:pt idx="4">
                  <c:v>32.892751438358616</c:v>
                </c:pt>
                <c:pt idx="5">
                  <c:v>62.743481148228597</c:v>
                </c:pt>
                <c:pt idx="6">
                  <c:v>73.226383865119075</c:v>
                </c:pt>
                <c:pt idx="7">
                  <c:v>95.0000167940902</c:v>
                </c:pt>
              </c:numCache>
            </c:numRef>
          </c:xVal>
          <c:yVal>
            <c:numRef>
              <c:f>Models!$AM$11:$AM$18</c:f>
              <c:numCache>
                <c:formatCode>0.00E+00</c:formatCode>
                <c:ptCount val="8"/>
                <c:pt idx="0">
                  <c:v>1.6625120368177235E-3</c:v>
                </c:pt>
                <c:pt idx="1">
                  <c:v>1.0177471231310659E-3</c:v>
                </c:pt>
                <c:pt idx="2">
                  <c:v>1.7397119013377301E-3</c:v>
                </c:pt>
                <c:pt idx="3">
                  <c:v>1.2004138362889042E-3</c:v>
                </c:pt>
                <c:pt idx="4">
                  <c:v>1.1968017552114675E-3</c:v>
                </c:pt>
                <c:pt idx="5">
                  <c:v>2.5907350027758302E-3</c:v>
                </c:pt>
                <c:pt idx="6">
                  <c:v>3.3649260949080266E-3</c:v>
                </c:pt>
                <c:pt idx="7">
                  <c:v>2.7766204769576232E-3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84-4C44-881B-E375317F7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α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/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β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1A0-95F4-D082B9E72F84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FA-41A0-95F4-D082B9E72F84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FA-41A0-95F4-D082B9E72F84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FA-41A0-95F4-D082B9E72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C4-4906-A767-CACCC4C0A907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C4-4906-A767-CACCC4C0A907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C4-4906-A767-CACCC4C0A907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C4-4906-A767-CACCC4C0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D0-4314-80ED-EE2086BC40FB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D0-4314-80ED-EE2086BC40FB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D0-4314-80ED-EE2086BC40FB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D0-4314-80ED-EE2086BC4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4-4638-998B-4E4F34736698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4-4638-998B-4E4F34736698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4-4638-998B-4E4F34736698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04-4638-998B-4E4F34736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82-4E20-BAF2-63F6BEC9554D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82-4E20-BAF2-63F6BEC9554D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82-4E20-BAF2-63F6BEC9554D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82-4E20-BAF2-63F6BEC9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a-ES"/>
              <a:t>Ordre 1</a:t>
            </a:r>
          </a:p>
        </c:rich>
      </c:tx>
      <c:layout>
        <c:manualLayout>
          <c:xMode val="edge"/>
          <c:yMode val="edge"/>
          <c:x val="0.31771607423026293"/>
          <c:y val="2.86126470904092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Tardor_Incluint_Evaporacio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Models!$N$3:$N$10</c:f>
              <c:numCache>
                <c:formatCode>0.00\ "μM"</c:formatCode>
                <c:ptCount val="8"/>
                <c:pt idx="0">
                  <c:v>100.70115000433273</c:v>
                </c:pt>
                <c:pt idx="1">
                  <c:v>37.856582032176171</c:v>
                </c:pt>
                <c:pt idx="2">
                  <c:v>102.62564632162055</c:v>
                </c:pt>
                <c:pt idx="3">
                  <c:v>66.390278847292095</c:v>
                </c:pt>
                <c:pt idx="4">
                  <c:v>66.091562820419725</c:v>
                </c:pt>
                <c:pt idx="5">
                  <c:v>71.269013371249443</c:v>
                </c:pt>
                <c:pt idx="6">
                  <c:v>29.945292387472737</c:v>
                </c:pt>
                <c:pt idx="7">
                  <c:v>119.95998399474422</c:v>
                </c:pt>
              </c:numCache>
            </c:numRef>
          </c:xVal>
          <c:yVal>
            <c:numRef>
              <c:f>Models!$O$3:$O$10</c:f>
              <c:numCache>
                <c:formatCode>0.00E+00</c:formatCode>
                <c:ptCount val="8"/>
                <c:pt idx="0">
                  <c:v>5.1808884099220641E-5</c:v>
                </c:pt>
                <c:pt idx="1">
                  <c:v>6.3852806998087236E-5</c:v>
                </c:pt>
                <c:pt idx="2">
                  <c:v>5.5116440726033954E-5</c:v>
                </c:pt>
                <c:pt idx="3">
                  <c:v>4.7730595894918843E-5</c:v>
                </c:pt>
                <c:pt idx="4">
                  <c:v>5.6021022448983134E-5</c:v>
                </c:pt>
                <c:pt idx="5">
                  <c:v>7.4133933245383306E-5</c:v>
                </c:pt>
                <c:pt idx="6">
                  <c:v>1.2511627081162233E-4</c:v>
                </c:pt>
                <c:pt idx="7">
                  <c:v>7.0777209093270303E-5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D-470F-B0B9-2038EC6C7635}"/>
            </c:ext>
          </c:extLst>
        </c:ser>
        <c:ser>
          <c:idx val="1"/>
          <c:order val="1"/>
          <c:tx>
            <c:v>Tardor_Excluint_Evaporació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(Models!$R$3:$R$5,Models!$R$9:$R$10)</c:f>
              <c:numCache>
                <c:formatCode>0.00\ "μM"</c:formatCode>
                <c:ptCount val="5"/>
                <c:pt idx="0">
                  <c:v>101.10269427308742</c:v>
                </c:pt>
                <c:pt idx="1">
                  <c:v>38.374506478941953</c:v>
                </c:pt>
                <c:pt idx="2">
                  <c:v>103.05758614231991</c:v>
                </c:pt>
                <c:pt idx="3">
                  <c:v>28.221973572007339</c:v>
                </c:pt>
                <c:pt idx="4">
                  <c:v>113.08086172524536</c:v>
                </c:pt>
              </c:numCache>
            </c:numRef>
          </c:xVal>
          <c:yVal>
            <c:numRef>
              <c:f>(Models!$S$3:$S$5,Models!$S$9:$S$10)</c:f>
              <c:numCache>
                <c:formatCode>0.00E+00</c:formatCode>
                <c:ptCount val="5"/>
                <c:pt idx="0">
                  <c:v>6.2414224599995262E-5</c:v>
                </c:pt>
                <c:pt idx="1">
                  <c:v>8.098563653344848E-5</c:v>
                </c:pt>
                <c:pt idx="2">
                  <c:v>6.2750698436533239E-5</c:v>
                </c:pt>
                <c:pt idx="3">
                  <c:v>1.096614311189997E-4</c:v>
                </c:pt>
                <c:pt idx="4">
                  <c:v>7.7241108272220441E-5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AD-470F-B0B9-2038EC6C7635}"/>
            </c:ext>
          </c:extLst>
        </c:ser>
        <c:ser>
          <c:idx val="2"/>
          <c:order val="2"/>
          <c:tx>
            <c:v>Primavera_Incloent_Evaporacio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Models!$N$11:$N$18</c:f>
              <c:numCache>
                <c:formatCode>0.00\ "μM"</c:formatCode>
                <c:ptCount val="8"/>
                <c:pt idx="0">
                  <c:v>13.956228923426618</c:v>
                </c:pt>
                <c:pt idx="1">
                  <c:v>27.544981764828908</c:v>
                </c:pt>
                <c:pt idx="2">
                  <c:v>32.54560143810447</c:v>
                </c:pt>
                <c:pt idx="3">
                  <c:v>34.092898823423802</c:v>
                </c:pt>
                <c:pt idx="4">
                  <c:v>34.615356247234075</c:v>
                </c:pt>
                <c:pt idx="5">
                  <c:v>65.315746834734767</c:v>
                </c:pt>
                <c:pt idx="6">
                  <c:v>77.076321158351831</c:v>
                </c:pt>
                <c:pt idx="7">
                  <c:v>96.733614242897843</c:v>
                </c:pt>
              </c:numCache>
            </c:numRef>
          </c:xVal>
          <c:yVal>
            <c:numRef>
              <c:f>Models!$O$11:$O$18</c:f>
              <c:numCache>
                <c:formatCode>0.00E+00</c:formatCode>
                <c:ptCount val="8"/>
                <c:pt idx="0">
                  <c:v>5.7674330015737343E-5</c:v>
                </c:pt>
                <c:pt idx="1">
                  <c:v>4.1219297931074816E-5</c:v>
                </c:pt>
                <c:pt idx="2">
                  <c:v>4.2059448563366171E-5</c:v>
                </c:pt>
                <c:pt idx="3">
                  <c:v>3.0717102366148833E-5</c:v>
                </c:pt>
                <c:pt idx="4">
                  <c:v>3.5192120890118084E-5</c:v>
                </c:pt>
                <c:pt idx="5">
                  <c:v>4.0921229647645806E-5</c:v>
                </c:pt>
                <c:pt idx="6">
                  <c:v>3.8730494115558389E-5</c:v>
                </c:pt>
                <c:pt idx="7">
                  <c:v>3.1060986871331688E-5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AD-470F-B0B9-2038EC6C7635}"/>
            </c:ext>
          </c:extLst>
        </c:ser>
        <c:ser>
          <c:idx val="3"/>
          <c:order val="3"/>
          <c:tx>
            <c:v>Primavera_Excloent_Evaporació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Models!$R$11:$R$18</c:f>
              <c:numCache>
                <c:formatCode>0.00\ "μM"</c:formatCode>
                <c:ptCount val="8"/>
                <c:pt idx="0">
                  <c:v>12.674402208884107</c:v>
                </c:pt>
                <c:pt idx="1">
                  <c:v>26.65804982932276</c:v>
                </c:pt>
                <c:pt idx="2">
                  <c:v>33.587916947277819</c:v>
                </c:pt>
                <c:pt idx="3">
                  <c:v>33.152933620137603</c:v>
                </c:pt>
                <c:pt idx="4">
                  <c:v>34.608622401670509</c:v>
                </c:pt>
                <c:pt idx="5">
                  <c:v>63.912030193660556</c:v>
                </c:pt>
                <c:pt idx="6">
                  <c:v>76.222310682405578</c:v>
                </c:pt>
                <c:pt idx="7">
                  <c:v>95.126178477612086</c:v>
                </c:pt>
              </c:numCache>
            </c:numRef>
          </c:xVal>
          <c:yVal>
            <c:numRef>
              <c:f>Models!$S$11:$S$18</c:f>
              <c:numCache>
                <c:formatCode>0.00E+00</c:formatCode>
                <c:ptCount val="8"/>
                <c:pt idx="0">
                  <c:v>5.6703856317507851E-5</c:v>
                </c:pt>
                <c:pt idx="1">
                  <c:v>3.879967755108767E-5</c:v>
                </c:pt>
                <c:pt idx="2">
                  <c:v>5.0320203487956668E-5</c:v>
                </c:pt>
                <c:pt idx="3">
                  <c:v>3.6558101409220049E-5</c:v>
                </c:pt>
                <c:pt idx="4">
                  <c:v>3.8190290373202065E-5</c:v>
                </c:pt>
                <c:pt idx="5">
                  <c:v>4.6631141111003031E-5</c:v>
                </c:pt>
                <c:pt idx="6">
                  <c:v>4.3257874337237508E-5</c:v>
                </c:pt>
                <c:pt idx="7">
                  <c:v>3.3532449159562527E-5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AD-470F-B0B9-2038EC6C7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002047"/>
        <c:axId val="1487002527"/>
      </c:scatterChart>
      <c:valAx>
        <c:axId val="148700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/>
                  <a:t>C0 [</a:t>
                </a:r>
                <a:r>
                  <a:rPr lang="el-GR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μ</a:t>
                </a: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M]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527"/>
        <c:crosses val="autoZero"/>
        <c:crossBetween val="midCat"/>
      </c:valAx>
      <c:valAx>
        <c:axId val="14870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a-ES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k</a:t>
                </a:r>
                <a:endParaRPr lang="ca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1487002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635000</xdr:colOff>
      <xdr:row>32</xdr:row>
      <xdr:rowOff>150234</xdr:rowOff>
    </xdr:from>
    <xdr:to>
      <xdr:col>18</xdr:col>
      <xdr:colOff>357909</xdr:colOff>
      <xdr:row>61</xdr:row>
      <xdr:rowOff>92364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8C25585-460B-A6B7-4077-3BBA045DD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207819</xdr:colOff>
      <xdr:row>21</xdr:row>
      <xdr:rowOff>169718</xdr:rowOff>
    </xdr:from>
    <xdr:to>
      <xdr:col>55</xdr:col>
      <xdr:colOff>207819</xdr:colOff>
      <xdr:row>36</xdr:row>
      <xdr:rowOff>26555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439B2D-4FD0-2F49-EE48-024068C05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19</xdr:row>
          <xdr:rowOff>184150</xdr:rowOff>
        </xdr:from>
        <xdr:to>
          <xdr:col>0</xdr:col>
          <xdr:colOff>1574800</xdr:colOff>
          <xdr:row>24</xdr:row>
          <xdr:rowOff>31750</xdr:rowOff>
        </xdr:to>
        <xdr:sp macro="" textlink="">
          <xdr:nvSpPr>
            <xdr:cNvPr id="1025" name="Main_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0</xdr:rowOff>
        </xdr:from>
        <xdr:to>
          <xdr:col>3</xdr:col>
          <xdr:colOff>495300</xdr:colOff>
          <xdr:row>20</xdr:row>
          <xdr:rowOff>69850</xdr:rowOff>
        </xdr:to>
        <xdr:sp macro="" textlink="">
          <xdr:nvSpPr>
            <xdr:cNvPr id="1168" name="Btn_Order_n_m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Order_n_m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0</xdr:rowOff>
        </xdr:from>
        <xdr:to>
          <xdr:col>9</xdr:col>
          <xdr:colOff>488950</xdr:colOff>
          <xdr:row>20</xdr:row>
          <xdr:rowOff>69850</xdr:rowOff>
        </xdr:to>
        <xdr:sp macro="" textlink="">
          <xdr:nvSpPr>
            <xdr:cNvPr id="1169" name="Btn_Order_n_m_CE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Order_n_m_CE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0</xdr:rowOff>
        </xdr:from>
        <xdr:to>
          <xdr:col>15</xdr:col>
          <xdr:colOff>495300</xdr:colOff>
          <xdr:row>20</xdr:row>
          <xdr:rowOff>69850</xdr:rowOff>
        </xdr:to>
        <xdr:sp macro="" textlink="">
          <xdr:nvSpPr>
            <xdr:cNvPr id="1170" name="Btn_Order1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</xdr:row>
          <xdr:rowOff>0</xdr:rowOff>
        </xdr:from>
        <xdr:to>
          <xdr:col>19</xdr:col>
          <xdr:colOff>495300</xdr:colOff>
          <xdr:row>20</xdr:row>
          <xdr:rowOff>69850</xdr:rowOff>
        </xdr:to>
        <xdr:sp macro="" textlink="">
          <xdr:nvSpPr>
            <xdr:cNvPr id="1171" name="Btn_Order1_CE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Order1_CE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19</xdr:row>
          <xdr:rowOff>0</xdr:rowOff>
        </xdr:from>
        <xdr:to>
          <xdr:col>23</xdr:col>
          <xdr:colOff>495300</xdr:colOff>
          <xdr:row>20</xdr:row>
          <xdr:rowOff>69850</xdr:rowOff>
        </xdr:to>
        <xdr:sp macro="" textlink="">
          <xdr:nvSpPr>
            <xdr:cNvPr id="1172" name="Btn_Order0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19</xdr:row>
          <xdr:rowOff>0</xdr:rowOff>
        </xdr:from>
        <xdr:to>
          <xdr:col>27</xdr:col>
          <xdr:colOff>495300</xdr:colOff>
          <xdr:row>20</xdr:row>
          <xdr:rowOff>69850</xdr:rowOff>
        </xdr:to>
        <xdr:sp macro="" textlink="">
          <xdr:nvSpPr>
            <xdr:cNvPr id="1173" name="Btn_Order0_CE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Order0_CE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19</xdr:row>
          <xdr:rowOff>0</xdr:rowOff>
        </xdr:from>
        <xdr:to>
          <xdr:col>31</xdr:col>
          <xdr:colOff>495300</xdr:colOff>
          <xdr:row>20</xdr:row>
          <xdr:rowOff>69850</xdr:rowOff>
        </xdr:to>
        <xdr:sp macro="" textlink="">
          <xdr:nvSpPr>
            <xdr:cNvPr id="1174" name="Btn_AlphaBeta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AlphaBeta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19</xdr:row>
          <xdr:rowOff>0</xdr:rowOff>
        </xdr:from>
        <xdr:to>
          <xdr:col>37</xdr:col>
          <xdr:colOff>495300</xdr:colOff>
          <xdr:row>20</xdr:row>
          <xdr:rowOff>69850</xdr:rowOff>
        </xdr:to>
        <xdr:sp macro="" textlink="">
          <xdr:nvSpPr>
            <xdr:cNvPr id="1175" name="Btn_AlphaBeta_CE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AlphaBeta_CE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0</xdr:colOff>
          <xdr:row>19</xdr:row>
          <xdr:rowOff>0</xdr:rowOff>
        </xdr:from>
        <xdr:to>
          <xdr:col>43</xdr:col>
          <xdr:colOff>495300</xdr:colOff>
          <xdr:row>20</xdr:row>
          <xdr:rowOff>69850</xdr:rowOff>
        </xdr:to>
        <xdr:sp macro="" textlink="">
          <xdr:nvSpPr>
            <xdr:cNvPr id="1176" name="Btn_Alpha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0</xdr:colOff>
          <xdr:row>19</xdr:row>
          <xdr:rowOff>0</xdr:rowOff>
        </xdr:from>
        <xdr:to>
          <xdr:col>47</xdr:col>
          <xdr:colOff>495300</xdr:colOff>
          <xdr:row>20</xdr:row>
          <xdr:rowOff>69850</xdr:rowOff>
        </xdr:to>
        <xdr:sp macro="" textlink="">
          <xdr:nvSpPr>
            <xdr:cNvPr id="1177" name="Btn_Alpha_CE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Alpha_CE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0</xdr:colOff>
          <xdr:row>19</xdr:row>
          <xdr:rowOff>0</xdr:rowOff>
        </xdr:from>
        <xdr:to>
          <xdr:col>51</xdr:col>
          <xdr:colOff>495300</xdr:colOff>
          <xdr:row>20</xdr:row>
          <xdr:rowOff>69850</xdr:rowOff>
        </xdr:to>
        <xdr:sp macro="" textlink="">
          <xdr:nvSpPr>
            <xdr:cNvPr id="1178" name="Btn_AlphaGamma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AlphaGamma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91005</xdr:colOff>
      <xdr:row>22</xdr:row>
      <xdr:rowOff>148327</xdr:rowOff>
    </xdr:from>
    <xdr:to>
      <xdr:col>22</xdr:col>
      <xdr:colOff>588139</xdr:colOff>
      <xdr:row>37</xdr:row>
      <xdr:rowOff>90057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186377</xdr:colOff>
      <xdr:row>37</xdr:row>
      <xdr:rowOff>121226</xdr:rowOff>
    </xdr:from>
    <xdr:to>
      <xdr:col>19</xdr:col>
      <xdr:colOff>36966</xdr:colOff>
      <xdr:row>52</xdr:row>
      <xdr:rowOff>62955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122052</xdr:colOff>
      <xdr:row>37</xdr:row>
      <xdr:rowOff>61851</xdr:rowOff>
    </xdr:from>
    <xdr:to>
      <xdr:col>27</xdr:col>
      <xdr:colOff>616712</xdr:colOff>
      <xdr:row>52</xdr:row>
      <xdr:rowOff>3581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150091</xdr:colOff>
      <xdr:row>24</xdr:row>
      <xdr:rowOff>34636</xdr:rowOff>
    </xdr:from>
    <xdr:to>
      <xdr:col>39</xdr:col>
      <xdr:colOff>644751</xdr:colOff>
      <xdr:row>38</xdr:row>
      <xdr:rowOff>161094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150091</xdr:colOff>
      <xdr:row>38</xdr:row>
      <xdr:rowOff>150092</xdr:rowOff>
    </xdr:from>
    <xdr:to>
      <xdr:col>39</xdr:col>
      <xdr:colOff>644751</xdr:colOff>
      <xdr:row>53</xdr:row>
      <xdr:rowOff>91821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244929</xdr:colOff>
      <xdr:row>21</xdr:row>
      <xdr:rowOff>154214</xdr:rowOff>
    </xdr:from>
    <xdr:to>
      <xdr:col>9</xdr:col>
      <xdr:colOff>603517</xdr:colOff>
      <xdr:row>36</xdr:row>
      <xdr:rowOff>99243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244929</xdr:colOff>
      <xdr:row>36</xdr:row>
      <xdr:rowOff>90715</xdr:rowOff>
    </xdr:from>
    <xdr:to>
      <xdr:col>9</xdr:col>
      <xdr:colOff>603517</xdr:colOff>
      <xdr:row>51</xdr:row>
      <xdr:rowOff>35745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244930</xdr:colOff>
      <xdr:row>51</xdr:row>
      <xdr:rowOff>27215</xdr:rowOff>
    </xdr:from>
    <xdr:to>
      <xdr:col>9</xdr:col>
      <xdr:colOff>603518</xdr:colOff>
      <xdr:row>65</xdr:row>
      <xdr:rowOff>153673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173181</xdr:colOff>
      <xdr:row>53</xdr:row>
      <xdr:rowOff>138544</xdr:rowOff>
    </xdr:from>
    <xdr:to>
      <xdr:col>37</xdr:col>
      <xdr:colOff>634999</xdr:colOff>
      <xdr:row>68</xdr:row>
      <xdr:rowOff>80274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312538</xdr:colOff>
      <xdr:row>5</xdr:row>
      <xdr:rowOff>175025</xdr:rowOff>
    </xdr:from>
    <xdr:to>
      <xdr:col>18</xdr:col>
      <xdr:colOff>110533</xdr:colOff>
      <xdr:row>20</xdr:row>
      <xdr:rowOff>148717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312538</xdr:colOff>
      <xdr:row>5</xdr:row>
      <xdr:rowOff>175025</xdr:rowOff>
    </xdr:from>
    <xdr:to>
      <xdr:col>18</xdr:col>
      <xdr:colOff>110533</xdr:colOff>
      <xdr:row>20</xdr:row>
      <xdr:rowOff>148717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454478</xdr:colOff>
      <xdr:row>5</xdr:row>
      <xdr:rowOff>145143</xdr:rowOff>
    </xdr:from>
    <xdr:to>
      <xdr:col>17</xdr:col>
      <xdr:colOff>245002</xdr:colOff>
      <xdr:row>20</xdr:row>
      <xdr:rowOff>118835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73478</xdr:colOff>
      <xdr:row>7</xdr:row>
      <xdr:rowOff>92847</xdr:rowOff>
    </xdr:from>
    <xdr:to>
      <xdr:col>17</xdr:col>
      <xdr:colOff>633473</xdr:colOff>
      <xdr:row>22</xdr:row>
      <xdr:rowOff>66539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297595</xdr:colOff>
      <xdr:row>2</xdr:row>
      <xdr:rowOff>97118</xdr:rowOff>
    </xdr:from>
    <xdr:to>
      <xdr:col>16</xdr:col>
      <xdr:colOff>80649</xdr:colOff>
      <xdr:row>21</xdr:row>
      <xdr:rowOff>149411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297595</xdr:colOff>
      <xdr:row>2</xdr:row>
      <xdr:rowOff>97118</xdr:rowOff>
    </xdr:from>
    <xdr:to>
      <xdr:col>16</xdr:col>
      <xdr:colOff>80649</xdr:colOff>
      <xdr:row>21</xdr:row>
      <xdr:rowOff>149411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09200-F71E-403F-BFDA-061A8506A71C}">
  <dimension ref="A1:BD42"/>
  <sheetViews>
    <sheetView topLeftCell="AJ4" zoomScale="55" zoomScaleNormal="55" workbookViewId="0">
      <selection activeCell="BD15" sqref="BD15"/>
    </sheetView>
  </sheetViews>
  <sheetFormatPr baseColWidth="10" defaultRowHeight="14.5" x14ac:dyDescent="0.35"/>
  <sheetData>
    <row r="1" spans="1:56" ht="15" thickBot="1" x14ac:dyDescent="0.4">
      <c r="A1" s="130" t="s">
        <v>98</v>
      </c>
      <c r="B1" s="130"/>
      <c r="C1" s="130"/>
      <c r="D1" s="130"/>
      <c r="E1" s="130"/>
      <c r="F1" s="140"/>
      <c r="G1" s="130" t="s">
        <v>103</v>
      </c>
      <c r="H1" s="130"/>
      <c r="I1" s="130"/>
      <c r="J1" s="130"/>
      <c r="K1" s="130"/>
      <c r="L1" s="140"/>
      <c r="M1" s="130" t="s">
        <v>104</v>
      </c>
      <c r="N1" s="130"/>
      <c r="O1" s="130"/>
      <c r="P1" s="130"/>
      <c r="Q1" s="140"/>
      <c r="R1" s="135" t="s">
        <v>105</v>
      </c>
      <c r="S1" s="135"/>
      <c r="T1" s="135"/>
      <c r="U1" s="135"/>
      <c r="V1" s="140"/>
      <c r="W1" s="130" t="s">
        <v>106</v>
      </c>
      <c r="X1" s="130"/>
      <c r="Y1" s="130"/>
      <c r="Z1" s="130"/>
      <c r="AA1" s="140"/>
      <c r="AB1" s="130" t="s">
        <v>107</v>
      </c>
      <c r="AC1" s="130"/>
      <c r="AD1" s="130"/>
      <c r="AE1" s="130"/>
      <c r="AF1" s="130"/>
      <c r="AG1" s="140"/>
      <c r="AH1" s="130" t="s">
        <v>108</v>
      </c>
      <c r="AI1" s="130"/>
      <c r="AJ1" s="130"/>
      <c r="AK1" s="130"/>
      <c r="AL1" s="130"/>
      <c r="AM1" s="140"/>
      <c r="AN1" s="135" t="s">
        <v>109</v>
      </c>
      <c r="AO1" s="135"/>
      <c r="AP1" s="135"/>
      <c r="AQ1" s="135"/>
      <c r="AR1" s="135"/>
      <c r="AS1" s="144"/>
      <c r="AT1" s="129"/>
      <c r="AU1" s="129"/>
      <c r="AV1" s="129"/>
      <c r="AW1" s="129"/>
    </row>
    <row r="2" spans="1:56" ht="28" thickBot="1" x14ac:dyDescent="0.4">
      <c r="A2" s="120" t="s">
        <v>99</v>
      </c>
      <c r="B2" s="121" t="s">
        <v>100</v>
      </c>
      <c r="C2" s="121" t="s">
        <v>101</v>
      </c>
      <c r="D2" s="121"/>
      <c r="E2" s="122" t="s">
        <v>102</v>
      </c>
      <c r="F2" s="121"/>
      <c r="G2" s="120" t="s">
        <v>99</v>
      </c>
      <c r="H2" s="121" t="s">
        <v>100</v>
      </c>
      <c r="I2" s="121" t="s">
        <v>101</v>
      </c>
      <c r="J2" s="121"/>
      <c r="K2" s="122" t="s">
        <v>102</v>
      </c>
      <c r="L2" s="121"/>
      <c r="M2" s="120" t="s">
        <v>99</v>
      </c>
      <c r="N2" s="121" t="s">
        <v>100</v>
      </c>
      <c r="O2" s="121" t="s">
        <v>101</v>
      </c>
      <c r="P2" s="122" t="s">
        <v>102</v>
      </c>
      <c r="Q2" s="121"/>
      <c r="R2" s="120" t="s">
        <v>99</v>
      </c>
      <c r="S2" s="121" t="s">
        <v>100</v>
      </c>
      <c r="T2" s="121" t="s">
        <v>101</v>
      </c>
      <c r="U2" s="122" t="s">
        <v>102</v>
      </c>
      <c r="V2" s="121"/>
      <c r="W2" s="120" t="s">
        <v>99</v>
      </c>
      <c r="X2" s="121" t="s">
        <v>100</v>
      </c>
      <c r="Y2" s="121" t="s">
        <v>101</v>
      </c>
      <c r="Z2" s="122" t="s">
        <v>102</v>
      </c>
      <c r="AA2" s="121"/>
      <c r="AB2" s="120" t="s">
        <v>99</v>
      </c>
      <c r="AC2" s="121" t="s">
        <v>100</v>
      </c>
      <c r="AD2" s="121" t="s">
        <v>101</v>
      </c>
      <c r="AE2" s="121"/>
      <c r="AF2" s="122" t="s">
        <v>102</v>
      </c>
      <c r="AG2" s="121"/>
      <c r="AH2" s="120" t="s">
        <v>99</v>
      </c>
      <c r="AI2" s="121" t="s">
        <v>100</v>
      </c>
      <c r="AJ2" s="121" t="s">
        <v>101</v>
      </c>
      <c r="AK2" s="121"/>
      <c r="AL2" s="122" t="s">
        <v>102</v>
      </c>
      <c r="AM2" s="121"/>
      <c r="AN2" s="120" t="s">
        <v>99</v>
      </c>
      <c r="AO2" s="121" t="s">
        <v>100</v>
      </c>
      <c r="AP2" s="121" t="s">
        <v>101</v>
      </c>
      <c r="AQ2" s="121"/>
      <c r="AR2" s="122" t="s">
        <v>102</v>
      </c>
      <c r="AS2" s="145"/>
      <c r="AT2" s="129"/>
      <c r="AU2" s="129"/>
      <c r="AV2" s="129"/>
      <c r="AW2" s="129"/>
      <c r="AY2" s="158" t="s">
        <v>118</v>
      </c>
      <c r="AZ2" s="159" t="s">
        <v>119</v>
      </c>
    </row>
    <row r="3" spans="1:56" ht="15" thickBot="1" x14ac:dyDescent="0.4">
      <c r="A3" s="123">
        <v>0</v>
      </c>
      <c r="B3" s="124">
        <v>0</v>
      </c>
      <c r="C3" s="124">
        <v>4.05</v>
      </c>
      <c r="D3" s="141">
        <f>C3/C$3</f>
        <v>1</v>
      </c>
      <c r="E3" s="124">
        <v>4.05</v>
      </c>
      <c r="F3" s="141">
        <f>E3/E$3</f>
        <v>1</v>
      </c>
      <c r="G3" s="123">
        <v>0</v>
      </c>
      <c r="H3" s="124">
        <v>0</v>
      </c>
      <c r="I3" s="124">
        <v>6.01</v>
      </c>
      <c r="J3" s="141">
        <f>I3/I$3</f>
        <v>1</v>
      </c>
      <c r="K3" s="124">
        <v>6.01</v>
      </c>
      <c r="L3" s="141">
        <f>K3/K$3</f>
        <v>1</v>
      </c>
      <c r="M3" s="123">
        <v>0</v>
      </c>
      <c r="N3" s="124">
        <v>0</v>
      </c>
      <c r="O3" s="124" t="s">
        <v>45</v>
      </c>
      <c r="P3" s="124">
        <v>10.130000000000001</v>
      </c>
      <c r="Q3" s="141">
        <f>P3/P$3</f>
        <v>1</v>
      </c>
      <c r="R3" s="123">
        <v>0</v>
      </c>
      <c r="S3" s="124">
        <v>0</v>
      </c>
      <c r="T3" s="124" t="s">
        <v>45</v>
      </c>
      <c r="U3" s="124">
        <v>10.26</v>
      </c>
      <c r="V3" s="141">
        <f>U3/U$3</f>
        <v>1</v>
      </c>
      <c r="W3" s="123">
        <v>0</v>
      </c>
      <c r="X3" s="124">
        <v>0</v>
      </c>
      <c r="Y3" s="124" t="s">
        <v>45</v>
      </c>
      <c r="Z3" s="124">
        <v>10.1</v>
      </c>
      <c r="AA3" s="141">
        <f>Z3/Z$3</f>
        <v>1</v>
      </c>
      <c r="AB3" s="123">
        <v>0</v>
      </c>
      <c r="AC3" s="124">
        <v>0</v>
      </c>
      <c r="AD3" s="124">
        <v>14.86</v>
      </c>
      <c r="AE3" s="141">
        <f>AD3/AD$3</f>
        <v>1</v>
      </c>
      <c r="AF3" s="124">
        <v>14.86</v>
      </c>
      <c r="AG3" s="141">
        <f>AF3/AF$3</f>
        <v>1</v>
      </c>
      <c r="AH3" s="123">
        <v>0</v>
      </c>
      <c r="AI3" s="124">
        <v>0</v>
      </c>
      <c r="AJ3" s="124">
        <v>14.86</v>
      </c>
      <c r="AK3" s="141">
        <f>AJ3/AJ$3</f>
        <v>1</v>
      </c>
      <c r="AL3" s="124">
        <v>14.86</v>
      </c>
      <c r="AM3" s="141">
        <f>AL3/AL$3</f>
        <v>1</v>
      </c>
      <c r="AN3" s="123">
        <v>0</v>
      </c>
      <c r="AO3" s="124">
        <v>0</v>
      </c>
      <c r="AP3" s="124">
        <v>17.03</v>
      </c>
      <c r="AQ3" s="141">
        <f>AP3/AP$3</f>
        <v>1</v>
      </c>
      <c r="AR3" s="124">
        <v>17.03</v>
      </c>
      <c r="AS3" s="141">
        <f>AR3/AR$3</f>
        <v>1</v>
      </c>
      <c r="AT3" s="129"/>
      <c r="AU3" s="129"/>
      <c r="AV3" s="129"/>
      <c r="AW3" s="129"/>
      <c r="AY3" s="161">
        <v>13314</v>
      </c>
      <c r="AZ3" s="163">
        <v>3</v>
      </c>
      <c r="BA3" s="165" t="s">
        <v>120</v>
      </c>
      <c r="BB3">
        <f>AY3/AZ3</f>
        <v>4438</v>
      </c>
    </row>
    <row r="4" spans="1:56" ht="15" thickBot="1" x14ac:dyDescent="0.4">
      <c r="A4" s="125">
        <v>15</v>
      </c>
      <c r="B4" s="126">
        <v>836</v>
      </c>
      <c r="C4" s="126">
        <v>4.0599999999999996</v>
      </c>
      <c r="D4" s="141">
        <f t="shared" ref="D4:D15" si="0">C4/C$3</f>
        <v>1.0024691358024691</v>
      </c>
      <c r="E4" s="126">
        <v>4.0199999999999996</v>
      </c>
      <c r="F4" s="141">
        <f t="shared" ref="F4:F15" si="1">E4/E$3</f>
        <v>0.99259259259259258</v>
      </c>
      <c r="G4" s="125">
        <v>15</v>
      </c>
      <c r="H4" s="126">
        <v>1223</v>
      </c>
      <c r="I4" s="126" t="s">
        <v>45</v>
      </c>
      <c r="J4" s="126" t="s">
        <v>45</v>
      </c>
      <c r="K4" s="126" t="s">
        <v>45</v>
      </c>
      <c r="L4" s="126" t="s">
        <v>45</v>
      </c>
      <c r="M4" s="125">
        <v>15</v>
      </c>
      <c r="N4" s="126">
        <v>1331</v>
      </c>
      <c r="O4" s="126" t="s">
        <v>45</v>
      </c>
      <c r="P4" s="126">
        <v>9.4700000000000006</v>
      </c>
      <c r="Q4" s="141">
        <f t="shared" ref="Q4:Q7" si="2">P4/P$3</f>
        <v>0.93484698914116482</v>
      </c>
      <c r="R4" s="125">
        <v>15</v>
      </c>
      <c r="S4" s="126">
        <v>931</v>
      </c>
      <c r="T4" s="126" t="s">
        <v>45</v>
      </c>
      <c r="U4" s="126">
        <v>9.8699999999999992</v>
      </c>
      <c r="V4" s="141">
        <f t="shared" ref="V4:V15" si="3">U4/U$3</f>
        <v>0.96198830409356717</v>
      </c>
      <c r="W4" s="125">
        <v>15</v>
      </c>
      <c r="X4" s="126">
        <v>1494</v>
      </c>
      <c r="Y4" s="126" t="s">
        <v>45</v>
      </c>
      <c r="Z4" s="126">
        <v>9.6999999999999993</v>
      </c>
      <c r="AA4" s="141">
        <f t="shared" ref="AA4:AA17" si="4">Z4/Z$3</f>
        <v>0.96039603960396036</v>
      </c>
      <c r="AB4" s="125">
        <v>15</v>
      </c>
      <c r="AC4" s="126">
        <v>798</v>
      </c>
      <c r="AD4" s="126">
        <v>15.15</v>
      </c>
      <c r="AE4" s="141">
        <f t="shared" ref="AE4:AE12" si="5">AD4/AD$3</f>
        <v>1.0195154777927322</v>
      </c>
      <c r="AF4" s="126">
        <v>14.91</v>
      </c>
      <c r="AG4" s="141">
        <f t="shared" ref="AG4:AG12" si="6">AF4/AF$3</f>
        <v>1.0033647375504711</v>
      </c>
      <c r="AH4" s="125">
        <v>15</v>
      </c>
      <c r="AI4" s="126">
        <v>1200</v>
      </c>
      <c r="AJ4" s="126">
        <v>14.89</v>
      </c>
      <c r="AK4" s="141">
        <f t="shared" ref="AK4:AK17" si="7">AJ4/AJ$3</f>
        <v>1.0020188425302827</v>
      </c>
      <c r="AL4" s="126">
        <v>14.78</v>
      </c>
      <c r="AM4" s="141">
        <f t="shared" ref="AM4:AM17" si="8">AL4/AL$3</f>
        <v>0.99461641991924632</v>
      </c>
      <c r="AN4" s="125">
        <v>15</v>
      </c>
      <c r="AO4" s="126">
        <v>801</v>
      </c>
      <c r="AP4" s="126">
        <v>17.57</v>
      </c>
      <c r="AQ4" s="141">
        <f t="shared" ref="AQ4:AQ14" si="9">AP4/AP$3</f>
        <v>1.0317087492660011</v>
      </c>
      <c r="AR4" s="126">
        <v>16.71</v>
      </c>
      <c r="AS4" s="141">
        <f t="shared" ref="AS4:AS14" si="10">AR4/AR$3</f>
        <v>0.98120963006459183</v>
      </c>
      <c r="AT4" s="129"/>
      <c r="AU4" s="129"/>
      <c r="AV4" s="129"/>
      <c r="AW4" s="129"/>
      <c r="AY4" s="161">
        <v>6026</v>
      </c>
      <c r="AZ4" s="162">
        <v>2</v>
      </c>
      <c r="BA4" s="166" t="s">
        <v>121</v>
      </c>
      <c r="BB4">
        <f>AY4/AZ4</f>
        <v>3013</v>
      </c>
    </row>
    <row r="5" spans="1:56" ht="15" thickBot="1" x14ac:dyDescent="0.4">
      <c r="A5" s="123">
        <v>30</v>
      </c>
      <c r="B5" s="124">
        <v>2319</v>
      </c>
      <c r="C5" s="124">
        <v>3.93</v>
      </c>
      <c r="D5" s="141">
        <f t="shared" si="0"/>
        <v>0.97037037037037044</v>
      </c>
      <c r="E5" s="124">
        <v>3.54</v>
      </c>
      <c r="F5" s="141">
        <f t="shared" si="1"/>
        <v>0.87407407407407411</v>
      </c>
      <c r="G5" s="123">
        <v>30</v>
      </c>
      <c r="H5" s="124">
        <v>1848</v>
      </c>
      <c r="I5" s="124">
        <v>6.1</v>
      </c>
      <c r="J5" s="141">
        <f t="shared" ref="J5:J11" si="11">I5/I$3</f>
        <v>1.0149750415973378</v>
      </c>
      <c r="K5" s="124">
        <v>5.19</v>
      </c>
      <c r="L5" s="141">
        <f t="shared" ref="L5:L11" si="12">K5/K$3</f>
        <v>0.86356073211314488</v>
      </c>
      <c r="M5" s="123">
        <v>30</v>
      </c>
      <c r="N5" s="124">
        <v>2119</v>
      </c>
      <c r="O5" s="124" t="s">
        <v>45</v>
      </c>
      <c r="P5" s="124">
        <v>8.86</v>
      </c>
      <c r="Q5" s="141">
        <f t="shared" si="2"/>
        <v>0.87462981243830196</v>
      </c>
      <c r="R5" s="123">
        <v>30</v>
      </c>
      <c r="S5" s="124">
        <v>1654</v>
      </c>
      <c r="T5" s="124" t="s">
        <v>45</v>
      </c>
      <c r="U5" s="124">
        <v>9.33</v>
      </c>
      <c r="V5" s="141">
        <f t="shared" si="3"/>
        <v>0.90935672514619881</v>
      </c>
      <c r="W5" s="123">
        <v>30</v>
      </c>
      <c r="X5" s="124">
        <v>2935</v>
      </c>
      <c r="Y5" s="124" t="s">
        <v>45</v>
      </c>
      <c r="Z5" s="124">
        <v>8.91</v>
      </c>
      <c r="AA5" s="141">
        <f t="shared" si="4"/>
        <v>0.88217821782178218</v>
      </c>
      <c r="AB5" s="123">
        <v>30</v>
      </c>
      <c r="AC5" s="124">
        <v>1774</v>
      </c>
      <c r="AD5" s="124">
        <v>15.21</v>
      </c>
      <c r="AE5" s="141">
        <f t="shared" si="5"/>
        <v>1.0235531628532974</v>
      </c>
      <c r="AF5" s="124">
        <v>14.56</v>
      </c>
      <c r="AG5" s="141">
        <f t="shared" si="6"/>
        <v>0.97981157469717373</v>
      </c>
      <c r="AH5" s="123">
        <v>30</v>
      </c>
      <c r="AI5" s="124">
        <v>2147</v>
      </c>
      <c r="AJ5" s="124">
        <v>15.24</v>
      </c>
      <c r="AK5" s="141">
        <f t="shared" si="7"/>
        <v>1.0255720053835802</v>
      </c>
      <c r="AL5" s="124">
        <v>14.18</v>
      </c>
      <c r="AM5" s="141">
        <f t="shared" si="8"/>
        <v>0.95423956931359355</v>
      </c>
      <c r="AN5" s="123">
        <v>30</v>
      </c>
      <c r="AO5" s="124">
        <v>1771</v>
      </c>
      <c r="AP5" s="124">
        <v>17.239999999999998</v>
      </c>
      <c r="AQ5" s="141">
        <f t="shared" si="9"/>
        <v>1.0123311802701114</v>
      </c>
      <c r="AR5" s="124">
        <v>15.64</v>
      </c>
      <c r="AS5" s="141">
        <f t="shared" si="10"/>
        <v>0.91837933059307097</v>
      </c>
      <c r="AT5" s="129"/>
      <c r="AU5" s="129"/>
      <c r="AV5" s="129"/>
      <c r="AW5" s="129"/>
      <c r="AY5" s="161">
        <v>3255</v>
      </c>
      <c r="AZ5" s="163">
        <v>1</v>
      </c>
      <c r="BA5" s="166" t="s">
        <v>122</v>
      </c>
      <c r="BB5">
        <f>AY5/AZ5</f>
        <v>3255</v>
      </c>
    </row>
    <row r="6" spans="1:56" ht="15" thickBot="1" x14ac:dyDescent="0.4">
      <c r="A6" s="125">
        <v>45</v>
      </c>
      <c r="B6" s="126">
        <v>3899</v>
      </c>
      <c r="C6" s="126">
        <v>4.12</v>
      </c>
      <c r="D6" s="141">
        <f t="shared" si="0"/>
        <v>1.0172839506172839</v>
      </c>
      <c r="E6" s="126">
        <v>2.97</v>
      </c>
      <c r="F6" s="141">
        <f t="shared" si="1"/>
        <v>0.73333333333333339</v>
      </c>
      <c r="G6" s="125">
        <v>45</v>
      </c>
      <c r="H6" s="126">
        <v>2525</v>
      </c>
      <c r="I6" s="126">
        <v>6.13</v>
      </c>
      <c r="J6" s="141">
        <f t="shared" si="11"/>
        <v>1.0199667221297837</v>
      </c>
      <c r="K6" s="126">
        <v>4.96</v>
      </c>
      <c r="L6" s="141">
        <f t="shared" si="12"/>
        <v>0.82529118136439272</v>
      </c>
      <c r="M6" s="125">
        <v>45</v>
      </c>
      <c r="N6" s="126">
        <v>2686</v>
      </c>
      <c r="O6" s="126" t="s">
        <v>45</v>
      </c>
      <c r="P6" s="126">
        <v>8.81</v>
      </c>
      <c r="Q6" s="141">
        <f t="shared" si="2"/>
        <v>0.86969397828232975</v>
      </c>
      <c r="R6" s="125">
        <v>45</v>
      </c>
      <c r="S6" s="126">
        <v>2492</v>
      </c>
      <c r="T6" s="126" t="s">
        <v>45</v>
      </c>
      <c r="U6" s="126">
        <v>8.9499999999999993</v>
      </c>
      <c r="V6" s="141">
        <f t="shared" si="3"/>
        <v>0.87231968810916172</v>
      </c>
      <c r="W6" s="125">
        <v>45</v>
      </c>
      <c r="X6" s="126">
        <v>4355</v>
      </c>
      <c r="Y6" s="126" t="s">
        <v>45</v>
      </c>
      <c r="Z6" s="126">
        <v>8.2100000000000009</v>
      </c>
      <c r="AA6" s="141">
        <f t="shared" si="4"/>
        <v>0.81287128712871304</v>
      </c>
      <c r="AB6" s="125">
        <v>45</v>
      </c>
      <c r="AC6" s="126">
        <v>3256</v>
      </c>
      <c r="AD6" s="126">
        <v>15.29</v>
      </c>
      <c r="AE6" s="141">
        <f t="shared" si="5"/>
        <v>1.028936742934051</v>
      </c>
      <c r="AF6" s="126">
        <v>13.36</v>
      </c>
      <c r="AG6" s="141">
        <f t="shared" si="6"/>
        <v>0.89905787348586808</v>
      </c>
      <c r="AH6" s="125">
        <v>45</v>
      </c>
      <c r="AI6" s="126">
        <v>3601</v>
      </c>
      <c r="AJ6" s="126">
        <v>15.31</v>
      </c>
      <c r="AK6" s="141">
        <f t="shared" si="7"/>
        <v>1.0302826379542396</v>
      </c>
      <c r="AL6" s="126">
        <v>13.3</v>
      </c>
      <c r="AM6" s="141">
        <f t="shared" si="8"/>
        <v>0.89502018842530295</v>
      </c>
      <c r="AN6" s="125">
        <v>45</v>
      </c>
      <c r="AO6" s="126">
        <v>2533</v>
      </c>
      <c r="AP6" s="126">
        <v>17.670000000000002</v>
      </c>
      <c r="AQ6" s="141">
        <f t="shared" si="9"/>
        <v>1.0375807398708163</v>
      </c>
      <c r="AR6" s="126">
        <v>14.89</v>
      </c>
      <c r="AS6" s="141">
        <f t="shared" si="10"/>
        <v>0.87433940105695829</v>
      </c>
      <c r="AT6" s="129"/>
      <c r="AU6" s="129"/>
      <c r="AV6" s="129"/>
      <c r="AW6" s="129"/>
      <c r="AY6" s="161">
        <v>13323</v>
      </c>
      <c r="AZ6" s="162">
        <v>3</v>
      </c>
      <c r="BA6" s="166" t="s">
        <v>123</v>
      </c>
      <c r="BB6">
        <f>AY6/AZ6</f>
        <v>4441</v>
      </c>
      <c r="BD6">
        <f>AVERAGE(BB3:BB10)</f>
        <v>3879.6004689754691</v>
      </c>
    </row>
    <row r="7" spans="1:56" ht="15" thickBot="1" x14ac:dyDescent="0.4">
      <c r="A7" s="123">
        <v>60</v>
      </c>
      <c r="B7" s="124">
        <v>5461</v>
      </c>
      <c r="C7" s="124">
        <v>4.1399999999999997</v>
      </c>
      <c r="D7" s="141">
        <f t="shared" si="0"/>
        <v>1.0222222222222221</v>
      </c>
      <c r="E7" s="124">
        <v>2.61</v>
      </c>
      <c r="F7" s="141">
        <f t="shared" si="1"/>
        <v>0.64444444444444449</v>
      </c>
      <c r="G7" s="123">
        <v>60</v>
      </c>
      <c r="H7" s="124">
        <v>3430</v>
      </c>
      <c r="I7" s="124">
        <v>6.16</v>
      </c>
      <c r="J7" s="141">
        <f t="shared" si="11"/>
        <v>1.0249584026622296</v>
      </c>
      <c r="K7" s="124">
        <v>4.43</v>
      </c>
      <c r="L7" s="141">
        <f t="shared" si="12"/>
        <v>0.73710482529118138</v>
      </c>
      <c r="M7" s="123">
        <v>60</v>
      </c>
      <c r="N7" s="124">
        <v>3255</v>
      </c>
      <c r="O7" s="124" t="s">
        <v>45</v>
      </c>
      <c r="P7" s="124">
        <v>8.58</v>
      </c>
      <c r="Q7" s="141">
        <f t="shared" si="2"/>
        <v>0.8469891411648568</v>
      </c>
      <c r="R7" s="123">
        <v>60</v>
      </c>
      <c r="S7" s="124">
        <v>3154</v>
      </c>
      <c r="T7" s="124" t="s">
        <v>45</v>
      </c>
      <c r="U7" s="124">
        <v>8.65</v>
      </c>
      <c r="V7" s="141">
        <f t="shared" si="3"/>
        <v>0.84307992202729054</v>
      </c>
      <c r="W7" s="123">
        <v>60</v>
      </c>
      <c r="X7" s="124">
        <v>5419</v>
      </c>
      <c r="Y7" s="124" t="s">
        <v>45</v>
      </c>
      <c r="Z7" s="124">
        <v>7.57</v>
      </c>
      <c r="AA7" s="141">
        <f t="shared" si="4"/>
        <v>0.7495049504950495</v>
      </c>
      <c r="AB7" s="123">
        <v>60</v>
      </c>
      <c r="AC7" s="124">
        <v>5127</v>
      </c>
      <c r="AD7" s="124">
        <v>15.55</v>
      </c>
      <c r="AE7" s="141">
        <f t="shared" si="5"/>
        <v>1.0464333781965007</v>
      </c>
      <c r="AF7" s="124">
        <v>12.08</v>
      </c>
      <c r="AG7" s="141">
        <f t="shared" si="6"/>
        <v>0.81292059219380897</v>
      </c>
      <c r="AH7" s="123">
        <v>60</v>
      </c>
      <c r="AI7" s="124">
        <v>5111</v>
      </c>
      <c r="AJ7" s="124">
        <v>15.4</v>
      </c>
      <c r="AK7" s="141">
        <f t="shared" si="7"/>
        <v>1.0363391655450875</v>
      </c>
      <c r="AL7" s="124">
        <v>11.92</v>
      </c>
      <c r="AM7" s="141">
        <f t="shared" si="8"/>
        <v>0.80215343203230149</v>
      </c>
      <c r="AN7" s="123">
        <v>60</v>
      </c>
      <c r="AO7" s="124">
        <v>3531</v>
      </c>
      <c r="AP7" s="124">
        <v>17.489999999999998</v>
      </c>
      <c r="AQ7" s="141">
        <f t="shared" si="9"/>
        <v>1.0270111567821489</v>
      </c>
      <c r="AR7" s="124">
        <v>14.16</v>
      </c>
      <c r="AS7" s="141">
        <f t="shared" si="10"/>
        <v>0.83147386964180847</v>
      </c>
      <c r="AT7" s="129"/>
      <c r="AU7" s="129"/>
      <c r="AV7" s="129"/>
      <c r="AW7" s="129"/>
      <c r="AY7" s="161">
        <v>17148</v>
      </c>
      <c r="AZ7" s="163">
        <v>3.5</v>
      </c>
      <c r="BA7" s="166" t="s">
        <v>124</v>
      </c>
      <c r="BB7">
        <f>AY7/AZ7</f>
        <v>4899.4285714285716</v>
      </c>
    </row>
    <row r="8" spans="1:56" ht="15" thickBot="1" x14ac:dyDescent="0.4">
      <c r="A8" s="125">
        <v>75</v>
      </c>
      <c r="B8" s="126">
        <v>6629</v>
      </c>
      <c r="C8" s="126">
        <v>4.22</v>
      </c>
      <c r="D8" s="141">
        <f t="shared" si="0"/>
        <v>1.0419753086419752</v>
      </c>
      <c r="E8" s="126">
        <v>2.2999999999999998</v>
      </c>
      <c r="F8" s="141">
        <f t="shared" si="1"/>
        <v>0.5679012345679012</v>
      </c>
      <c r="G8" s="125">
        <v>75</v>
      </c>
      <c r="H8" s="126">
        <v>4333</v>
      </c>
      <c r="I8" s="126" t="s">
        <v>45</v>
      </c>
      <c r="J8" s="126" t="s">
        <v>45</v>
      </c>
      <c r="K8" s="126">
        <v>4.3</v>
      </c>
      <c r="L8" s="141">
        <f t="shared" si="12"/>
        <v>0.71547420965058239</v>
      </c>
      <c r="M8" s="148"/>
      <c r="N8" s="148"/>
      <c r="O8" s="148"/>
      <c r="P8" s="148"/>
      <c r="Q8" s="148"/>
      <c r="R8" s="125">
        <v>75</v>
      </c>
      <c r="S8" s="126">
        <v>4578</v>
      </c>
      <c r="T8" s="126" t="s">
        <v>45</v>
      </c>
      <c r="U8" s="126">
        <v>8</v>
      </c>
      <c r="V8" s="141">
        <f t="shared" si="3"/>
        <v>0.77972709551656927</v>
      </c>
      <c r="W8" s="125">
        <v>75</v>
      </c>
      <c r="X8" s="126">
        <v>6951</v>
      </c>
      <c r="Y8" s="126" t="s">
        <v>45</v>
      </c>
      <c r="Z8" s="126">
        <v>6.86</v>
      </c>
      <c r="AA8" s="141">
        <f t="shared" si="4"/>
        <v>0.67920792079207926</v>
      </c>
      <c r="AB8" s="125">
        <v>75</v>
      </c>
      <c r="AC8" s="126">
        <v>6518</v>
      </c>
      <c r="AD8" s="126">
        <v>15.65</v>
      </c>
      <c r="AE8" s="141">
        <f t="shared" si="5"/>
        <v>1.0531628532974429</v>
      </c>
      <c r="AF8" s="126">
        <v>11.16</v>
      </c>
      <c r="AG8" s="141">
        <f t="shared" si="6"/>
        <v>0.75100942126514136</v>
      </c>
      <c r="AH8" s="125">
        <v>75</v>
      </c>
      <c r="AI8" s="126">
        <v>6290</v>
      </c>
      <c r="AJ8" s="126">
        <v>15.62</v>
      </c>
      <c r="AK8" s="141">
        <f t="shared" si="7"/>
        <v>1.0511440107671601</v>
      </c>
      <c r="AL8" s="126">
        <v>11.56</v>
      </c>
      <c r="AM8" s="141">
        <f t="shared" si="8"/>
        <v>0.77792732166890988</v>
      </c>
      <c r="AN8" s="125">
        <v>75</v>
      </c>
      <c r="AO8" s="126">
        <v>4321</v>
      </c>
      <c r="AP8" s="126">
        <v>17.88</v>
      </c>
      <c r="AQ8" s="141">
        <f t="shared" si="9"/>
        <v>1.0499119201409277</v>
      </c>
      <c r="AR8" s="126">
        <v>13.17</v>
      </c>
      <c r="AS8" s="141">
        <f t="shared" si="10"/>
        <v>0.77334116265413966</v>
      </c>
      <c r="AT8" s="129"/>
      <c r="AU8" s="129"/>
      <c r="AV8" s="129"/>
      <c r="AW8" s="129"/>
      <c r="AY8" s="161">
        <v>8635</v>
      </c>
      <c r="AZ8" s="162">
        <v>2.25</v>
      </c>
      <c r="BA8" s="166" t="s">
        <v>125</v>
      </c>
      <c r="BB8">
        <f>AY8/AZ8</f>
        <v>3837.7777777777778</v>
      </c>
    </row>
    <row r="9" spans="1:56" ht="15" thickBot="1" x14ac:dyDescent="0.4">
      <c r="A9" s="123">
        <v>90</v>
      </c>
      <c r="B9" s="124">
        <v>8111</v>
      </c>
      <c r="C9" s="124">
        <v>4.25</v>
      </c>
      <c r="D9" s="141">
        <f t="shared" si="0"/>
        <v>1.0493827160493827</v>
      </c>
      <c r="E9" s="124">
        <v>1.94</v>
      </c>
      <c r="F9" s="141">
        <f t="shared" si="1"/>
        <v>0.47901234567901235</v>
      </c>
      <c r="G9" s="123">
        <v>90</v>
      </c>
      <c r="H9" s="124">
        <v>5124</v>
      </c>
      <c r="I9" s="124" t="s">
        <v>45</v>
      </c>
      <c r="J9" s="124" t="s">
        <v>45</v>
      </c>
      <c r="K9" s="124">
        <v>4.01</v>
      </c>
      <c r="L9" s="141">
        <f t="shared" si="12"/>
        <v>0.6672212978369384</v>
      </c>
      <c r="M9" s="148"/>
      <c r="N9" s="148"/>
      <c r="O9" s="148"/>
      <c r="P9" s="148"/>
      <c r="Q9" s="148"/>
      <c r="R9" s="123">
        <v>90</v>
      </c>
      <c r="S9" s="124">
        <v>6216</v>
      </c>
      <c r="T9" s="124" t="s">
        <v>45</v>
      </c>
      <c r="U9" s="124">
        <v>7.46</v>
      </c>
      <c r="V9" s="141">
        <f t="shared" si="3"/>
        <v>0.72709551656920079</v>
      </c>
      <c r="W9" s="123">
        <v>90</v>
      </c>
      <c r="X9" s="124">
        <v>8800</v>
      </c>
      <c r="Y9" s="124" t="s">
        <v>45</v>
      </c>
      <c r="Z9" s="124">
        <v>6.11</v>
      </c>
      <c r="AA9" s="141">
        <f t="shared" si="4"/>
        <v>0.60495049504950504</v>
      </c>
      <c r="AB9" s="123">
        <v>90</v>
      </c>
      <c r="AC9" s="124">
        <v>7249</v>
      </c>
      <c r="AD9" s="124">
        <v>15.95</v>
      </c>
      <c r="AE9" s="141">
        <f t="shared" si="5"/>
        <v>1.0733512786002692</v>
      </c>
      <c r="AF9" s="124">
        <v>10.51</v>
      </c>
      <c r="AG9" s="141">
        <f t="shared" si="6"/>
        <v>0.70726783310901753</v>
      </c>
      <c r="AH9" s="123">
        <v>90</v>
      </c>
      <c r="AI9" s="124">
        <v>7888</v>
      </c>
      <c r="AJ9" s="124">
        <v>16.059999999999999</v>
      </c>
      <c r="AK9" s="141">
        <f t="shared" si="7"/>
        <v>1.0807537012113055</v>
      </c>
      <c r="AL9" s="124">
        <v>11.22</v>
      </c>
      <c r="AM9" s="141">
        <f t="shared" si="8"/>
        <v>0.75504710632570671</v>
      </c>
      <c r="AN9" s="123">
        <v>90</v>
      </c>
      <c r="AO9" s="124">
        <v>5669</v>
      </c>
      <c r="AP9" s="124">
        <v>18.079999999999998</v>
      </c>
      <c r="AQ9" s="141">
        <f t="shared" si="9"/>
        <v>1.0616559013505578</v>
      </c>
      <c r="AR9" s="124">
        <v>12.24</v>
      </c>
      <c r="AS9" s="141">
        <f t="shared" si="10"/>
        <v>0.7187316500293599</v>
      </c>
      <c r="AT9" s="129"/>
      <c r="AU9" s="129"/>
      <c r="AV9" s="129"/>
      <c r="AW9" s="129"/>
      <c r="AY9" s="161">
        <v>13353</v>
      </c>
      <c r="AZ9" s="163">
        <v>3.5</v>
      </c>
      <c r="BA9" s="166" t="s">
        <v>126</v>
      </c>
      <c r="BB9">
        <f>AY9/AZ9</f>
        <v>3815.1428571428573</v>
      </c>
    </row>
    <row r="10" spans="1:56" ht="15" thickBot="1" x14ac:dyDescent="0.4">
      <c r="A10" s="125">
        <v>105</v>
      </c>
      <c r="B10" s="126">
        <v>9315</v>
      </c>
      <c r="C10" s="126">
        <v>4.29</v>
      </c>
      <c r="D10" s="141">
        <f t="shared" si="0"/>
        <v>1.0592592592592593</v>
      </c>
      <c r="E10" s="126">
        <v>1.7</v>
      </c>
      <c r="F10" s="141">
        <f t="shared" si="1"/>
        <v>0.41975308641975312</v>
      </c>
      <c r="G10" s="125">
        <v>105</v>
      </c>
      <c r="H10" s="126">
        <v>5673</v>
      </c>
      <c r="I10" s="126">
        <v>6.24</v>
      </c>
      <c r="J10" s="141">
        <f t="shared" si="11"/>
        <v>1.038269550748752</v>
      </c>
      <c r="K10" s="126">
        <v>3.78</v>
      </c>
      <c r="L10" s="141">
        <f t="shared" si="12"/>
        <v>0.62895174708818635</v>
      </c>
      <c r="M10" s="148"/>
      <c r="N10" s="148"/>
      <c r="O10" s="148"/>
      <c r="P10" s="148"/>
      <c r="Q10" s="148"/>
      <c r="R10" s="125">
        <v>105</v>
      </c>
      <c r="S10" s="126">
        <v>7557</v>
      </c>
      <c r="T10" s="126" t="s">
        <v>45</v>
      </c>
      <c r="U10" s="126">
        <v>6.88</v>
      </c>
      <c r="V10" s="141">
        <f t="shared" si="3"/>
        <v>0.67056530214424948</v>
      </c>
      <c r="W10" s="125">
        <v>105</v>
      </c>
      <c r="X10" s="126">
        <v>9998</v>
      </c>
      <c r="Y10" s="126" t="s">
        <v>45</v>
      </c>
      <c r="Z10" s="126">
        <v>5.46</v>
      </c>
      <c r="AA10" s="141">
        <f t="shared" si="4"/>
        <v>0.54059405940594063</v>
      </c>
      <c r="AB10" s="125">
        <v>105</v>
      </c>
      <c r="AC10" s="126">
        <v>8006</v>
      </c>
      <c r="AD10" s="126" t="s">
        <v>45</v>
      </c>
      <c r="AE10" s="141" t="e">
        <f t="shared" si="5"/>
        <v>#VALUE!</v>
      </c>
      <c r="AF10" s="126">
        <v>9.85</v>
      </c>
      <c r="AG10" s="141">
        <f t="shared" si="6"/>
        <v>0.66285329744279942</v>
      </c>
      <c r="AH10" s="125">
        <v>105</v>
      </c>
      <c r="AI10" s="126">
        <v>9273</v>
      </c>
      <c r="AJ10" s="126">
        <v>15.87</v>
      </c>
      <c r="AK10" s="157" t="s">
        <v>45</v>
      </c>
      <c r="AL10" s="126" t="s">
        <v>45</v>
      </c>
      <c r="AM10" s="141" t="e">
        <f t="shared" si="8"/>
        <v>#VALUE!</v>
      </c>
      <c r="AN10" s="125">
        <v>105</v>
      </c>
      <c r="AO10" s="126">
        <v>6790</v>
      </c>
      <c r="AP10" s="126">
        <v>18.14</v>
      </c>
      <c r="AQ10" s="141">
        <f t="shared" si="9"/>
        <v>1.0651790957134468</v>
      </c>
      <c r="AR10" s="126">
        <v>11.37</v>
      </c>
      <c r="AS10" s="141">
        <f t="shared" si="10"/>
        <v>0.6676453317674691</v>
      </c>
      <c r="AT10" s="129"/>
      <c r="AU10" s="129"/>
      <c r="AV10" s="129"/>
      <c r="AW10" s="129"/>
      <c r="AY10" s="161">
        <v>9178</v>
      </c>
      <c r="AZ10" s="162">
        <v>2.75</v>
      </c>
      <c r="BA10" s="166" t="s">
        <v>127</v>
      </c>
      <c r="BB10">
        <f>AY10/AZ10</f>
        <v>3337.4545454545455</v>
      </c>
    </row>
    <row r="11" spans="1:56" ht="15" thickBot="1" x14ac:dyDescent="0.4">
      <c r="A11" s="123">
        <v>120</v>
      </c>
      <c r="B11" s="124">
        <v>10546</v>
      </c>
      <c r="C11" s="124">
        <v>4.3099999999999996</v>
      </c>
      <c r="D11" s="141">
        <f t="shared" si="0"/>
        <v>1.0641975308641975</v>
      </c>
      <c r="E11" s="124">
        <v>1.39</v>
      </c>
      <c r="F11" s="141">
        <f t="shared" si="1"/>
        <v>0.34320987654320989</v>
      </c>
      <c r="G11" s="123">
        <v>120</v>
      </c>
      <c r="H11" s="124">
        <v>6026</v>
      </c>
      <c r="I11" s="124">
        <v>6.28</v>
      </c>
      <c r="J11" s="141">
        <f t="shared" si="11"/>
        <v>1.0449251247920135</v>
      </c>
      <c r="K11" s="124">
        <v>3.62</v>
      </c>
      <c r="L11" s="141">
        <f t="shared" si="12"/>
        <v>0.60232945091514145</v>
      </c>
      <c r="M11" s="148"/>
      <c r="N11" s="148"/>
      <c r="O11" s="148"/>
      <c r="P11" s="148"/>
      <c r="Q11" s="148"/>
      <c r="R11" s="123">
        <v>120</v>
      </c>
      <c r="S11" s="124">
        <v>9108</v>
      </c>
      <c r="T11" s="124" t="s">
        <v>45</v>
      </c>
      <c r="U11" s="124">
        <v>6.02</v>
      </c>
      <c r="V11" s="141">
        <f t="shared" si="3"/>
        <v>0.58674463937621835</v>
      </c>
      <c r="W11" s="123">
        <v>120</v>
      </c>
      <c r="X11" s="124">
        <v>11058</v>
      </c>
      <c r="Y11" s="124" t="s">
        <v>45</v>
      </c>
      <c r="Z11" s="124">
        <v>5.09</v>
      </c>
      <c r="AA11" s="141">
        <f t="shared" si="4"/>
        <v>0.50396039603960396</v>
      </c>
      <c r="AB11" s="123">
        <v>120</v>
      </c>
      <c r="AC11" s="124">
        <v>8389</v>
      </c>
      <c r="AD11" s="124">
        <v>16.14</v>
      </c>
      <c r="AE11" s="141">
        <f t="shared" si="5"/>
        <v>1.0861372812920593</v>
      </c>
      <c r="AF11" s="124">
        <v>9.5500000000000007</v>
      </c>
      <c r="AG11" s="141">
        <f t="shared" si="6"/>
        <v>0.64266487213997314</v>
      </c>
      <c r="AH11" s="123">
        <v>120</v>
      </c>
      <c r="AI11" s="124">
        <v>9642</v>
      </c>
      <c r="AJ11" s="124">
        <v>16.059999999999999</v>
      </c>
      <c r="AK11" s="141">
        <f t="shared" si="7"/>
        <v>1.0807537012113055</v>
      </c>
      <c r="AL11" s="124">
        <v>10.24</v>
      </c>
      <c r="AM11" s="141">
        <f t="shared" si="8"/>
        <v>0.68909825033647376</v>
      </c>
      <c r="AN11" s="123">
        <v>120</v>
      </c>
      <c r="AO11" s="124">
        <v>7673</v>
      </c>
      <c r="AP11" s="124">
        <v>18.29</v>
      </c>
      <c r="AQ11" s="141">
        <f t="shared" si="9"/>
        <v>1.0739870816206694</v>
      </c>
      <c r="AR11" s="124">
        <v>10.43</v>
      </c>
      <c r="AS11" s="141">
        <f t="shared" si="10"/>
        <v>0.6124486200822078</v>
      </c>
      <c r="AT11" s="129"/>
      <c r="AU11" s="129"/>
      <c r="AV11" s="129"/>
      <c r="AW11" s="129"/>
      <c r="AY11" s="160"/>
      <c r="AZ11" s="164"/>
      <c r="BA11" s="160"/>
    </row>
    <row r="12" spans="1:56" ht="15" thickBot="1" x14ac:dyDescent="0.4">
      <c r="A12" s="125">
        <v>135</v>
      </c>
      <c r="B12" s="126">
        <v>11406</v>
      </c>
      <c r="C12" s="126">
        <v>4.42</v>
      </c>
      <c r="D12" s="141">
        <f t="shared" si="0"/>
        <v>1.0913580246913581</v>
      </c>
      <c r="E12" s="126">
        <v>1.18</v>
      </c>
      <c r="F12" s="141">
        <f t="shared" si="1"/>
        <v>0.29135802469135802</v>
      </c>
      <c r="G12" s="132"/>
      <c r="H12" s="133"/>
      <c r="I12" s="133"/>
      <c r="J12" s="133"/>
      <c r="K12" s="133"/>
      <c r="L12" s="142"/>
      <c r="M12" s="148"/>
      <c r="N12" s="148"/>
      <c r="O12" s="148"/>
      <c r="P12" s="148"/>
      <c r="Q12" s="148"/>
      <c r="R12" s="125">
        <v>135</v>
      </c>
      <c r="S12" s="126">
        <v>10362</v>
      </c>
      <c r="T12" s="126" t="s">
        <v>45</v>
      </c>
      <c r="U12" s="126">
        <v>5.7</v>
      </c>
      <c r="V12" s="141">
        <f t="shared" si="3"/>
        <v>0.55555555555555558</v>
      </c>
      <c r="W12" s="125">
        <v>135</v>
      </c>
      <c r="X12" s="126">
        <v>12551</v>
      </c>
      <c r="Y12" s="126" t="s">
        <v>45</v>
      </c>
      <c r="Z12" s="126">
        <v>4.4400000000000004</v>
      </c>
      <c r="AA12" s="141">
        <f t="shared" si="4"/>
        <v>0.43960396039603966</v>
      </c>
      <c r="AB12" s="125">
        <v>135</v>
      </c>
      <c r="AC12" s="126">
        <v>8635</v>
      </c>
      <c r="AD12" s="126">
        <v>16.010000000000002</v>
      </c>
      <c r="AE12" s="141">
        <f t="shared" si="5"/>
        <v>1.0773889636608347</v>
      </c>
      <c r="AF12" s="126">
        <v>9.06</v>
      </c>
      <c r="AG12" s="141">
        <f t="shared" si="6"/>
        <v>0.60969044414535667</v>
      </c>
      <c r="AH12" s="125">
        <v>135</v>
      </c>
      <c r="AI12" s="126">
        <v>10239</v>
      </c>
      <c r="AJ12" s="126">
        <v>16.059999999999999</v>
      </c>
      <c r="AK12" s="141">
        <f t="shared" si="7"/>
        <v>1.0807537012113055</v>
      </c>
      <c r="AL12" s="126">
        <v>9.64</v>
      </c>
      <c r="AM12" s="141">
        <f t="shared" si="8"/>
        <v>0.6487213997308211</v>
      </c>
      <c r="AN12" s="125">
        <v>135</v>
      </c>
      <c r="AO12" s="126">
        <v>8558</v>
      </c>
      <c r="AP12" s="126">
        <v>18.48</v>
      </c>
      <c r="AQ12" s="141">
        <f t="shared" si="9"/>
        <v>1.0851438637698179</v>
      </c>
      <c r="AR12" s="126">
        <v>9.9499999999999993</v>
      </c>
      <c r="AS12" s="141">
        <f t="shared" si="10"/>
        <v>0.58426306517909565</v>
      </c>
      <c r="AT12" s="129"/>
      <c r="AU12" s="129"/>
      <c r="AV12" s="129"/>
      <c r="AW12" s="129"/>
      <c r="AY12" s="161">
        <v>17616</v>
      </c>
      <c r="AZ12" s="162">
        <v>1.5</v>
      </c>
      <c r="BA12" s="166" t="s">
        <v>128</v>
      </c>
      <c r="BB12">
        <f>AY12/AZ12</f>
        <v>11744</v>
      </c>
    </row>
    <row r="13" spans="1:56" ht="15" thickBot="1" x14ac:dyDescent="0.4">
      <c r="A13" s="123">
        <v>150</v>
      </c>
      <c r="B13" s="124">
        <v>11995</v>
      </c>
      <c r="C13" s="124">
        <v>4.43</v>
      </c>
      <c r="D13" s="141">
        <f t="shared" si="0"/>
        <v>1.0938271604938272</v>
      </c>
      <c r="E13" s="124">
        <v>1.04</v>
      </c>
      <c r="F13" s="141">
        <f t="shared" si="1"/>
        <v>0.25679012345679014</v>
      </c>
      <c r="G13" s="134"/>
      <c r="H13" s="131"/>
      <c r="I13" s="131"/>
      <c r="J13" s="131"/>
      <c r="K13" s="131"/>
      <c r="L13" s="127"/>
      <c r="M13" s="148"/>
      <c r="N13" s="148"/>
      <c r="O13" s="148"/>
      <c r="P13" s="148"/>
      <c r="Q13" s="148"/>
      <c r="R13" s="123">
        <v>150</v>
      </c>
      <c r="S13" s="124">
        <v>11446</v>
      </c>
      <c r="T13" s="124" t="s">
        <v>45</v>
      </c>
      <c r="U13" s="124">
        <v>5.25</v>
      </c>
      <c r="V13" s="141">
        <f t="shared" si="3"/>
        <v>0.51169590643274854</v>
      </c>
      <c r="W13" s="123">
        <v>150</v>
      </c>
      <c r="X13" s="124">
        <v>13695</v>
      </c>
      <c r="Y13" s="124" t="s">
        <v>45</v>
      </c>
      <c r="Z13" s="124">
        <v>3.9</v>
      </c>
      <c r="AA13" s="141">
        <f t="shared" si="4"/>
        <v>0.38613861386138615</v>
      </c>
      <c r="AB13" s="151"/>
      <c r="AC13" s="151"/>
      <c r="AD13" s="151"/>
      <c r="AE13" s="151"/>
      <c r="AF13" s="151"/>
      <c r="AG13" s="150"/>
      <c r="AH13" s="123">
        <v>150</v>
      </c>
      <c r="AI13" s="124">
        <v>10750</v>
      </c>
      <c r="AJ13" s="124">
        <v>16.09</v>
      </c>
      <c r="AK13" s="141">
        <f t="shared" si="7"/>
        <v>1.0827725437415883</v>
      </c>
      <c r="AL13" s="124">
        <v>8.6999999999999993</v>
      </c>
      <c r="AM13" s="141">
        <f t="shared" si="8"/>
        <v>0.58546433378196494</v>
      </c>
      <c r="AN13" s="123">
        <v>150</v>
      </c>
      <c r="AO13" s="124">
        <v>9178</v>
      </c>
      <c r="AP13" s="124">
        <v>18.62</v>
      </c>
      <c r="AQ13" s="141">
        <f t="shared" si="9"/>
        <v>1.0933646506165591</v>
      </c>
      <c r="AR13" s="124">
        <v>9.44</v>
      </c>
      <c r="AS13" s="141">
        <f t="shared" si="10"/>
        <v>0.55431591309453898</v>
      </c>
      <c r="AT13" s="129"/>
      <c r="AU13" s="129"/>
      <c r="AV13" s="129"/>
      <c r="AW13" s="129"/>
      <c r="AY13" s="161">
        <v>26914</v>
      </c>
      <c r="AZ13" s="163">
        <v>2.5</v>
      </c>
      <c r="BA13" s="166" t="s">
        <v>129</v>
      </c>
      <c r="BB13">
        <f>AY13/AZ13</f>
        <v>10765.6</v>
      </c>
    </row>
    <row r="14" spans="1:56" ht="15" thickBot="1" x14ac:dyDescent="0.4">
      <c r="A14" s="125">
        <v>165</v>
      </c>
      <c r="B14" s="126">
        <v>12054</v>
      </c>
      <c r="C14" s="126">
        <v>4.4000000000000004</v>
      </c>
      <c r="D14" s="141">
        <f t="shared" si="0"/>
        <v>1.0864197530864199</v>
      </c>
      <c r="E14" s="126">
        <v>1.03</v>
      </c>
      <c r="F14" s="141">
        <f t="shared" si="1"/>
        <v>0.25432098765432098</v>
      </c>
      <c r="G14" s="134"/>
      <c r="H14" s="131"/>
      <c r="I14" s="131"/>
      <c r="J14" s="131"/>
      <c r="K14" s="131"/>
      <c r="L14" s="127"/>
      <c r="M14" s="148"/>
      <c r="N14" s="148"/>
      <c r="O14" s="148"/>
      <c r="P14" s="148"/>
      <c r="Q14" s="148"/>
      <c r="R14" s="125">
        <v>165</v>
      </c>
      <c r="S14" s="126">
        <v>12514</v>
      </c>
      <c r="T14" s="126" t="s">
        <v>45</v>
      </c>
      <c r="U14" s="126">
        <v>4.93</v>
      </c>
      <c r="V14" s="141">
        <f t="shared" si="3"/>
        <v>0.48050682261208577</v>
      </c>
      <c r="W14" s="125">
        <v>165</v>
      </c>
      <c r="X14" s="126">
        <v>14727</v>
      </c>
      <c r="Y14" s="126" t="s">
        <v>45</v>
      </c>
      <c r="Z14" s="126">
        <v>3.43</v>
      </c>
      <c r="AA14" s="141">
        <f t="shared" si="4"/>
        <v>0.33960396039603963</v>
      </c>
      <c r="AB14" s="151"/>
      <c r="AC14" s="151"/>
      <c r="AD14" s="151"/>
      <c r="AE14" s="151"/>
      <c r="AF14" s="151"/>
      <c r="AG14" s="150"/>
      <c r="AH14" s="125">
        <v>165</v>
      </c>
      <c r="AI14" s="126">
        <v>11138</v>
      </c>
      <c r="AJ14" s="126">
        <v>16.22</v>
      </c>
      <c r="AK14" s="141">
        <f t="shared" si="7"/>
        <v>1.0915208613728129</v>
      </c>
      <c r="AL14" s="126">
        <v>8.09</v>
      </c>
      <c r="AM14" s="141">
        <f t="shared" si="8"/>
        <v>0.544414535666218</v>
      </c>
      <c r="AN14" s="125">
        <v>165</v>
      </c>
      <c r="AO14" s="126">
        <v>9606</v>
      </c>
      <c r="AP14" s="126">
        <v>18.71</v>
      </c>
      <c r="AQ14" s="141">
        <f t="shared" si="9"/>
        <v>1.0986494421608926</v>
      </c>
      <c r="AR14" s="126">
        <v>8.83</v>
      </c>
      <c r="AS14" s="141">
        <f t="shared" si="10"/>
        <v>0.51849677040516728</v>
      </c>
      <c r="AT14" s="129"/>
      <c r="AU14" s="129"/>
      <c r="AV14" s="129"/>
      <c r="AW14" s="129"/>
      <c r="AY14" s="161">
        <v>27246</v>
      </c>
      <c r="AZ14" s="162">
        <v>2.25</v>
      </c>
      <c r="BA14" s="166" t="s">
        <v>130</v>
      </c>
      <c r="BB14">
        <f>AY14/AZ14</f>
        <v>12109.333333333334</v>
      </c>
    </row>
    <row r="15" spans="1:56" ht="15" thickBot="1" x14ac:dyDescent="0.4">
      <c r="A15" s="123">
        <v>180</v>
      </c>
      <c r="B15" s="124">
        <v>13314</v>
      </c>
      <c r="C15" s="124">
        <v>4.47</v>
      </c>
      <c r="D15" s="141">
        <f t="shared" si="0"/>
        <v>1.1037037037037036</v>
      </c>
      <c r="E15" s="124">
        <v>0.78</v>
      </c>
      <c r="F15" s="141">
        <f t="shared" si="1"/>
        <v>0.19259259259259262</v>
      </c>
      <c r="G15" s="134"/>
      <c r="H15" s="131"/>
      <c r="I15" s="131"/>
      <c r="J15" s="131"/>
      <c r="K15" s="131"/>
      <c r="L15" s="127"/>
      <c r="M15" s="148"/>
      <c r="N15" s="148"/>
      <c r="O15" s="148"/>
      <c r="P15" s="148"/>
      <c r="Q15" s="148"/>
      <c r="R15" s="123">
        <v>180</v>
      </c>
      <c r="S15" s="124">
        <v>13323</v>
      </c>
      <c r="T15" s="124" t="s">
        <v>45</v>
      </c>
      <c r="U15" s="124">
        <v>4.54</v>
      </c>
      <c r="V15" s="141">
        <f t="shared" si="3"/>
        <v>0.44249512670565305</v>
      </c>
      <c r="W15" s="123">
        <v>180</v>
      </c>
      <c r="X15" s="124">
        <v>15721</v>
      </c>
      <c r="Y15" s="124" t="s">
        <v>45</v>
      </c>
      <c r="Z15" s="124">
        <v>3.11</v>
      </c>
      <c r="AA15" s="141">
        <f t="shared" si="4"/>
        <v>0.30792079207920792</v>
      </c>
      <c r="AB15" s="151"/>
      <c r="AC15" s="151"/>
      <c r="AD15" s="151"/>
      <c r="AE15" s="151"/>
      <c r="AF15" s="151"/>
      <c r="AG15" s="150"/>
      <c r="AH15" s="123">
        <v>180</v>
      </c>
      <c r="AI15" s="124">
        <v>11897</v>
      </c>
      <c r="AJ15" s="124">
        <v>16.25</v>
      </c>
      <c r="AK15" s="141">
        <f t="shared" si="7"/>
        <v>1.0935397039030956</v>
      </c>
      <c r="AL15" s="124">
        <v>7.73</v>
      </c>
      <c r="AM15" s="141">
        <f t="shared" si="8"/>
        <v>0.52018842530282638</v>
      </c>
      <c r="AN15" s="138"/>
      <c r="AO15" s="137"/>
      <c r="AP15" s="137"/>
      <c r="AQ15" s="137"/>
      <c r="AR15" s="137"/>
      <c r="AS15" s="143"/>
      <c r="AT15" s="129"/>
      <c r="AU15" s="129"/>
      <c r="AV15" s="129"/>
      <c r="AW15" s="129"/>
      <c r="AY15" s="161">
        <v>28142</v>
      </c>
      <c r="AZ15" s="163">
        <v>2</v>
      </c>
      <c r="BA15" s="166" t="s">
        <v>131</v>
      </c>
      <c r="BB15">
        <f>AY15/AZ15</f>
        <v>14071</v>
      </c>
      <c r="BD15">
        <f>AVERAGE(BB12:BB19)</f>
        <v>12090.152777777777</v>
      </c>
    </row>
    <row r="16" spans="1:56" ht="15" thickBot="1" x14ac:dyDescent="0.4">
      <c r="M16" s="148"/>
      <c r="N16" s="148"/>
      <c r="O16" s="148"/>
      <c r="P16" s="148"/>
      <c r="Q16" s="148"/>
      <c r="R16" s="150"/>
      <c r="S16" s="150"/>
      <c r="T16" s="150"/>
      <c r="U16" s="150"/>
      <c r="V16" s="150"/>
      <c r="W16" s="125">
        <v>195</v>
      </c>
      <c r="X16" s="126">
        <v>16443</v>
      </c>
      <c r="Y16" s="126" t="s">
        <v>45</v>
      </c>
      <c r="Z16" s="126">
        <v>2.79</v>
      </c>
      <c r="AA16" s="141">
        <f t="shared" si="4"/>
        <v>0.27623762376237626</v>
      </c>
      <c r="AB16" s="151"/>
      <c r="AC16" s="151"/>
      <c r="AD16" s="151"/>
      <c r="AE16" s="151"/>
      <c r="AF16" s="151"/>
      <c r="AG16" s="150"/>
      <c r="AH16" s="125">
        <v>195</v>
      </c>
      <c r="AI16" s="126">
        <v>12718</v>
      </c>
      <c r="AJ16" s="126">
        <v>16.48</v>
      </c>
      <c r="AK16" s="141">
        <f t="shared" si="7"/>
        <v>1.1090174966352626</v>
      </c>
      <c r="AL16" s="126">
        <v>7.15</v>
      </c>
      <c r="AM16" s="141">
        <f t="shared" si="8"/>
        <v>0.48115746971736206</v>
      </c>
      <c r="AN16" s="139"/>
      <c r="AO16" s="136"/>
      <c r="AP16" s="136"/>
      <c r="AQ16" s="136"/>
      <c r="AR16" s="136"/>
      <c r="AS16" s="128"/>
      <c r="AT16" s="129"/>
      <c r="AU16" s="129"/>
      <c r="AV16" s="129"/>
      <c r="AW16" s="129"/>
      <c r="AY16" s="161">
        <v>35723</v>
      </c>
      <c r="AZ16" s="162">
        <v>2.25</v>
      </c>
      <c r="BA16" s="166" t="s">
        <v>132</v>
      </c>
      <c r="BB16">
        <f>AY16/AZ16</f>
        <v>15876.888888888889</v>
      </c>
    </row>
    <row r="17" spans="1:54" ht="15" customHeight="1" thickBot="1" x14ac:dyDescent="0.4">
      <c r="M17" s="148"/>
      <c r="N17" s="148"/>
      <c r="O17" s="148"/>
      <c r="P17" s="148"/>
      <c r="Q17" s="148"/>
      <c r="R17" s="150"/>
      <c r="S17" s="150"/>
      <c r="T17" s="150"/>
      <c r="U17" s="150"/>
      <c r="V17" s="150"/>
      <c r="W17" s="123">
        <v>210</v>
      </c>
      <c r="X17" s="124">
        <v>17148</v>
      </c>
      <c r="Y17" s="124" t="s">
        <v>45</v>
      </c>
      <c r="Z17" s="124">
        <v>2.5099999999999998</v>
      </c>
      <c r="AA17" s="141">
        <f t="shared" si="4"/>
        <v>0.24851485148514851</v>
      </c>
      <c r="AB17" s="151"/>
      <c r="AC17" s="151"/>
      <c r="AD17" s="151"/>
      <c r="AE17" s="151"/>
      <c r="AF17" s="151"/>
      <c r="AG17" s="150"/>
      <c r="AH17" s="123">
        <v>210</v>
      </c>
      <c r="AI17" s="124">
        <v>13353</v>
      </c>
      <c r="AJ17" s="124">
        <v>16.489999999999998</v>
      </c>
      <c r="AK17" s="141">
        <f t="shared" si="7"/>
        <v>1.1096904441453566</v>
      </c>
      <c r="AL17" s="124">
        <v>6.66</v>
      </c>
      <c r="AM17" s="141">
        <f t="shared" si="8"/>
        <v>0.44818304172274565</v>
      </c>
      <c r="AN17" s="139"/>
      <c r="AO17" s="136"/>
      <c r="AP17" s="136"/>
      <c r="AQ17" s="136"/>
      <c r="AR17" s="136"/>
      <c r="AS17" s="128"/>
      <c r="AT17" s="129"/>
      <c r="AU17" s="129"/>
      <c r="AV17" s="129"/>
      <c r="AW17" s="129"/>
      <c r="AY17" s="161">
        <v>16101</v>
      </c>
      <c r="AZ17" s="163">
        <v>1.5</v>
      </c>
      <c r="BA17" s="166" t="s">
        <v>133</v>
      </c>
      <c r="BB17">
        <f>AY17/AZ17</f>
        <v>10734</v>
      </c>
    </row>
    <row r="18" spans="1:54" ht="15" thickBot="1" x14ac:dyDescent="0.4">
      <c r="AY18" s="161">
        <v>27511</v>
      </c>
      <c r="AZ18" s="162">
        <v>2.5</v>
      </c>
      <c r="BA18" s="166" t="s">
        <v>134</v>
      </c>
      <c r="BB18">
        <f>AY18/AZ18</f>
        <v>11004.4</v>
      </c>
    </row>
    <row r="19" spans="1:54" ht="44" thickBot="1" x14ac:dyDescent="0.4">
      <c r="A19" s="130" t="s">
        <v>110</v>
      </c>
      <c r="B19" s="130"/>
      <c r="C19" s="130"/>
      <c r="D19" s="130"/>
      <c r="G19" s="130" t="s">
        <v>111</v>
      </c>
      <c r="H19" s="130"/>
      <c r="I19" s="130"/>
      <c r="J19" s="130"/>
      <c r="M19" s="130" t="s">
        <v>112</v>
      </c>
      <c r="N19" s="130"/>
      <c r="O19" s="130"/>
      <c r="P19" s="130"/>
      <c r="S19" s="140" t="s">
        <v>113</v>
      </c>
      <c r="T19" s="140"/>
      <c r="U19" s="140"/>
      <c r="V19" s="140"/>
      <c r="Y19" s="152" t="s">
        <v>114</v>
      </c>
      <c r="Z19" s="152"/>
      <c r="AA19" s="152"/>
      <c r="AB19" s="152"/>
      <c r="AE19" s="140" t="s">
        <v>115</v>
      </c>
      <c r="AF19" s="140"/>
      <c r="AG19" s="140"/>
      <c r="AH19" s="140"/>
      <c r="AK19" s="140" t="s">
        <v>116</v>
      </c>
      <c r="AL19" s="140"/>
      <c r="AM19" s="140"/>
      <c r="AN19" s="140"/>
      <c r="AQ19" s="152" t="s">
        <v>117</v>
      </c>
      <c r="AR19" s="152"/>
      <c r="AS19" s="152"/>
      <c r="AT19" s="152"/>
      <c r="AY19" s="161">
        <v>26040</v>
      </c>
      <c r="AZ19" s="163">
        <v>2.5</v>
      </c>
      <c r="BA19" s="166" t="s">
        <v>135</v>
      </c>
      <c r="BB19">
        <f>AY19/AZ19</f>
        <v>10416</v>
      </c>
    </row>
    <row r="20" spans="1:54" ht="15" thickBot="1" x14ac:dyDescent="0.4">
      <c r="A20" s="120" t="s">
        <v>99</v>
      </c>
      <c r="B20" s="121" t="s">
        <v>100</v>
      </c>
      <c r="C20" s="121" t="s">
        <v>101</v>
      </c>
      <c r="E20" s="122" t="s">
        <v>102</v>
      </c>
      <c r="G20" s="120" t="s">
        <v>99</v>
      </c>
      <c r="H20" s="121" t="s">
        <v>100</v>
      </c>
      <c r="I20" s="121" t="s">
        <v>101</v>
      </c>
      <c r="K20" s="122" t="s">
        <v>102</v>
      </c>
      <c r="M20" s="120" t="s">
        <v>99</v>
      </c>
      <c r="N20" s="121" t="s">
        <v>100</v>
      </c>
      <c r="O20" s="121" t="s">
        <v>101</v>
      </c>
      <c r="Q20" s="122" t="s">
        <v>102</v>
      </c>
      <c r="S20" s="120" t="s">
        <v>99</v>
      </c>
      <c r="T20" s="121" t="s">
        <v>100</v>
      </c>
      <c r="U20" s="121" t="s">
        <v>101</v>
      </c>
      <c r="W20" s="122" t="s">
        <v>102</v>
      </c>
      <c r="Y20" s="120" t="s">
        <v>99</v>
      </c>
      <c r="Z20" s="121" t="s">
        <v>100</v>
      </c>
      <c r="AA20" s="121" t="s">
        <v>101</v>
      </c>
      <c r="AC20" s="122" t="s">
        <v>102</v>
      </c>
      <c r="AE20" s="120" t="s">
        <v>99</v>
      </c>
      <c r="AF20" s="121" t="s">
        <v>100</v>
      </c>
      <c r="AG20" s="121" t="s">
        <v>101</v>
      </c>
      <c r="AI20" s="122" t="s">
        <v>102</v>
      </c>
      <c r="AK20" s="120" t="s">
        <v>99</v>
      </c>
      <c r="AL20" s="121" t="s">
        <v>100</v>
      </c>
      <c r="AM20" s="121" t="s">
        <v>101</v>
      </c>
      <c r="AO20" s="122" t="s">
        <v>102</v>
      </c>
      <c r="AQ20" s="120" t="s">
        <v>99</v>
      </c>
      <c r="AR20" s="121" t="s">
        <v>100</v>
      </c>
      <c r="AS20" s="121" t="s">
        <v>101</v>
      </c>
      <c r="AU20" s="122" t="s">
        <v>102</v>
      </c>
    </row>
    <row r="21" spans="1:54" ht="15" thickBot="1" x14ac:dyDescent="0.4">
      <c r="A21" s="123">
        <v>0</v>
      </c>
      <c r="B21" s="124">
        <v>0</v>
      </c>
      <c r="C21" s="124">
        <v>2.14</v>
      </c>
      <c r="D21">
        <f>C21/C$21</f>
        <v>1</v>
      </c>
      <c r="E21" s="124">
        <v>2.06</v>
      </c>
      <c r="F21">
        <f>E21/E$21</f>
        <v>1</v>
      </c>
      <c r="G21" s="123">
        <v>0</v>
      </c>
      <c r="H21" s="124">
        <v>0</v>
      </c>
      <c r="I21" s="124">
        <v>4.18</v>
      </c>
      <c r="J21">
        <f>I21/I$21</f>
        <v>1</v>
      </c>
      <c r="K21" s="124">
        <v>4.18</v>
      </c>
      <c r="L21">
        <f>K21/K$21</f>
        <v>1</v>
      </c>
      <c r="M21" s="123">
        <v>0</v>
      </c>
      <c r="N21" s="124">
        <v>0</v>
      </c>
      <c r="O21" s="124">
        <v>5.07</v>
      </c>
      <c r="P21">
        <f>O21/O$21</f>
        <v>1</v>
      </c>
      <c r="Q21" s="124">
        <v>4.96</v>
      </c>
      <c r="R21">
        <f>Q21/Q$21</f>
        <v>1</v>
      </c>
      <c r="S21" s="123">
        <v>0</v>
      </c>
      <c r="T21" s="124">
        <v>0</v>
      </c>
      <c r="U21" s="124">
        <v>5.03</v>
      </c>
      <c r="V21">
        <f>U21/U$21</f>
        <v>1</v>
      </c>
      <c r="W21" s="124">
        <v>5.09</v>
      </c>
      <c r="X21">
        <f>W21/W$21</f>
        <v>1</v>
      </c>
      <c r="Y21" s="123">
        <v>0</v>
      </c>
      <c r="Z21" s="124">
        <v>0</v>
      </c>
      <c r="AA21" s="124">
        <v>5.22</v>
      </c>
      <c r="AB21">
        <f>AA21/AA$21</f>
        <v>1</v>
      </c>
      <c r="AC21" s="124">
        <v>5.23</v>
      </c>
      <c r="AD21">
        <f>AC21/AC$21</f>
        <v>1</v>
      </c>
      <c r="AE21" s="123">
        <v>0</v>
      </c>
      <c r="AF21" s="124">
        <v>0</v>
      </c>
      <c r="AG21" s="124">
        <v>9.7799999999999994</v>
      </c>
      <c r="AH21">
        <f>AG21/AG$21</f>
        <v>1</v>
      </c>
      <c r="AI21" s="124">
        <v>9.6999999999999993</v>
      </c>
      <c r="AJ21">
        <f>AI21/AI$21</f>
        <v>1</v>
      </c>
      <c r="AK21" s="123">
        <v>0</v>
      </c>
      <c r="AL21" s="124">
        <v>0</v>
      </c>
      <c r="AM21" s="124">
        <v>11.64</v>
      </c>
      <c r="AN21">
        <f>AM21/AM$21</f>
        <v>1</v>
      </c>
      <c r="AO21" s="124">
        <v>11.48</v>
      </c>
      <c r="AP21">
        <f>AO21/AO$21</f>
        <v>1</v>
      </c>
      <c r="AQ21" s="123">
        <v>0</v>
      </c>
      <c r="AR21" s="124">
        <v>0</v>
      </c>
      <c r="AS21" s="124">
        <v>14.67</v>
      </c>
      <c r="AT21">
        <f>AS21/AS$21</f>
        <v>1</v>
      </c>
      <c r="AU21" s="124">
        <v>14.53</v>
      </c>
      <c r="AV21">
        <f>AU21/AU$21</f>
        <v>1</v>
      </c>
    </row>
    <row r="22" spans="1:54" ht="15" thickBot="1" x14ac:dyDescent="0.4">
      <c r="A22" s="125">
        <v>15</v>
      </c>
      <c r="B22" s="126">
        <v>2954</v>
      </c>
      <c r="C22" s="126">
        <v>2.2400000000000002</v>
      </c>
      <c r="D22">
        <f t="shared" ref="D22:F27" si="13">C22/C$21</f>
        <v>1.0467289719626169</v>
      </c>
      <c r="E22" s="126">
        <v>1.81</v>
      </c>
      <c r="F22">
        <f t="shared" si="13"/>
        <v>0.87864077669902918</v>
      </c>
      <c r="G22" s="125">
        <v>15</v>
      </c>
      <c r="H22" s="126">
        <v>1912</v>
      </c>
      <c r="I22" s="126">
        <v>4.22</v>
      </c>
      <c r="J22">
        <f t="shared" ref="J22" si="14">I22/I$21</f>
        <v>1.0095693779904307</v>
      </c>
      <c r="K22" s="126">
        <v>3.86</v>
      </c>
      <c r="L22">
        <f t="shared" ref="L22" si="15">K22/K$21</f>
        <v>0.92344497607655507</v>
      </c>
      <c r="M22" s="125">
        <v>15</v>
      </c>
      <c r="N22" s="126">
        <v>2446</v>
      </c>
      <c r="O22" s="126">
        <v>5.22</v>
      </c>
      <c r="P22">
        <f t="shared" ref="P22:R22" si="16">O22/O$21</f>
        <v>1.029585798816568</v>
      </c>
      <c r="Q22" s="126">
        <v>4.51</v>
      </c>
      <c r="R22">
        <f t="shared" si="16"/>
        <v>0.90927419354838701</v>
      </c>
      <c r="S22" s="125">
        <v>15</v>
      </c>
      <c r="T22" s="126">
        <v>3408</v>
      </c>
      <c r="U22" s="126">
        <v>5.41</v>
      </c>
      <c r="V22">
        <f t="shared" ref="V22:X22" si="17">U22/U$21</f>
        <v>1.0755467196819086</v>
      </c>
      <c r="W22" s="126">
        <v>4.63</v>
      </c>
      <c r="X22">
        <f t="shared" si="17"/>
        <v>0.90962671905697445</v>
      </c>
      <c r="Y22" s="125">
        <v>15</v>
      </c>
      <c r="Z22" s="126">
        <v>3920</v>
      </c>
      <c r="AA22" s="126">
        <v>5.28</v>
      </c>
      <c r="AB22">
        <f t="shared" ref="AB22:AD22" si="18">AA22/AA$21</f>
        <v>1.0114942528735633</v>
      </c>
      <c r="AC22" s="126">
        <v>4.5999999999999996</v>
      </c>
      <c r="AD22">
        <f t="shared" si="18"/>
        <v>0.87954110898661553</v>
      </c>
      <c r="AE22" s="125">
        <v>15</v>
      </c>
      <c r="AF22" s="126">
        <v>2341</v>
      </c>
      <c r="AG22" s="126">
        <v>10.029999999999999</v>
      </c>
      <c r="AH22">
        <f t="shared" ref="AH22:AJ22" si="19">AG22/AG$21</f>
        <v>1.0255623721881391</v>
      </c>
      <c r="AI22" s="126">
        <v>8.68</v>
      </c>
      <c r="AJ22">
        <f t="shared" si="19"/>
        <v>0.89484536082474231</v>
      </c>
      <c r="AK22" s="125">
        <v>15</v>
      </c>
      <c r="AL22" s="126">
        <v>2157</v>
      </c>
      <c r="AM22" s="126">
        <v>11.83</v>
      </c>
      <c r="AN22">
        <f t="shared" ref="AN22:AP22" si="20">AM22/AM$21</f>
        <v>1.0163230240549828</v>
      </c>
      <c r="AO22" s="126">
        <v>10.73</v>
      </c>
      <c r="AP22">
        <f t="shared" si="20"/>
        <v>0.93466898954703836</v>
      </c>
      <c r="AQ22" s="125">
        <v>15</v>
      </c>
      <c r="AR22" s="126">
        <v>1509</v>
      </c>
      <c r="AS22" s="126">
        <v>14.77</v>
      </c>
      <c r="AT22">
        <f t="shared" ref="AT22" si="21">AS22/AS$21</f>
        <v>1.0068166325835037</v>
      </c>
      <c r="AU22" s="126">
        <v>13.66</v>
      </c>
      <c r="AV22">
        <f t="shared" ref="AV22" si="22">AU22/AU$21</f>
        <v>0.94012388162422578</v>
      </c>
    </row>
    <row r="23" spans="1:54" ht="15" thickBot="1" x14ac:dyDescent="0.4">
      <c r="A23" s="123">
        <v>30</v>
      </c>
      <c r="B23" s="124">
        <v>5864</v>
      </c>
      <c r="C23" s="124">
        <v>2.25</v>
      </c>
      <c r="D23">
        <f t="shared" si="13"/>
        <v>1.0514018691588785</v>
      </c>
      <c r="E23" s="124">
        <v>1.52</v>
      </c>
      <c r="F23">
        <f t="shared" si="13"/>
        <v>0.73786407766990292</v>
      </c>
      <c r="G23" s="123">
        <v>30</v>
      </c>
      <c r="H23" s="124">
        <v>4161</v>
      </c>
      <c r="I23" s="124">
        <v>4.26</v>
      </c>
      <c r="J23">
        <f t="shared" ref="J23" si="23">I23/I$21</f>
        <v>1.0191387559808613</v>
      </c>
      <c r="K23" s="124">
        <v>3.48</v>
      </c>
      <c r="L23">
        <f t="shared" ref="L23" si="24">K23/K$21</f>
        <v>0.83253588516746413</v>
      </c>
      <c r="M23" s="123">
        <v>30</v>
      </c>
      <c r="N23" s="124">
        <v>5055</v>
      </c>
      <c r="O23" s="124">
        <v>5.28</v>
      </c>
      <c r="P23">
        <f t="shared" ref="P23:R23" si="25">O23/O$21</f>
        <v>1.0414201183431953</v>
      </c>
      <c r="Q23" s="124">
        <v>3.96</v>
      </c>
      <c r="R23">
        <f t="shared" si="25"/>
        <v>0.79838709677419351</v>
      </c>
      <c r="S23" s="123">
        <v>30</v>
      </c>
      <c r="T23" s="124">
        <v>6844</v>
      </c>
      <c r="U23" s="124">
        <v>5.49</v>
      </c>
      <c r="V23">
        <f t="shared" ref="V23:X23" si="26">U23/U$21</f>
        <v>1.0914512922465209</v>
      </c>
      <c r="W23" s="124">
        <v>4.18</v>
      </c>
      <c r="X23">
        <f t="shared" si="26"/>
        <v>0.82121807465618857</v>
      </c>
      <c r="Y23" s="123">
        <v>30</v>
      </c>
      <c r="Z23" s="124">
        <v>8029</v>
      </c>
      <c r="AA23" s="124">
        <v>5.36</v>
      </c>
      <c r="AB23">
        <f t="shared" ref="AB23:AD23" si="27">AA23/AA$21</f>
        <v>1.0268199233716475</v>
      </c>
      <c r="AC23" s="124">
        <v>3.93</v>
      </c>
      <c r="AD23">
        <f t="shared" si="27"/>
        <v>0.75143403441682599</v>
      </c>
      <c r="AE23" s="123">
        <v>30</v>
      </c>
      <c r="AF23" s="124">
        <v>4829</v>
      </c>
      <c r="AG23" s="124">
        <v>10.210000000000001</v>
      </c>
      <c r="AH23">
        <f t="shared" ref="AH23:AJ23" si="28">AG23/AG$21</f>
        <v>1.0439672801635993</v>
      </c>
      <c r="AI23" s="124">
        <v>8.14</v>
      </c>
      <c r="AJ23">
        <f t="shared" si="28"/>
        <v>0.83917525773195889</v>
      </c>
      <c r="AK23" s="123">
        <v>30</v>
      </c>
      <c r="AL23" s="124">
        <v>4304</v>
      </c>
      <c r="AM23" s="124">
        <v>11.93</v>
      </c>
      <c r="AN23">
        <f t="shared" ref="AN23:AP23" si="29">AM23/AM$21</f>
        <v>1.0249140893470789</v>
      </c>
      <c r="AO23" s="124">
        <v>9.8000000000000007</v>
      </c>
      <c r="AP23">
        <f t="shared" si="29"/>
        <v>0.85365853658536583</v>
      </c>
      <c r="AQ23" s="123">
        <v>30</v>
      </c>
      <c r="AR23" s="124">
        <v>3584</v>
      </c>
      <c r="AS23" s="124">
        <v>14.93</v>
      </c>
      <c r="AT23">
        <f t="shared" ref="AT23" si="30">AS23/AS$21</f>
        <v>1.0177232447171098</v>
      </c>
      <c r="AU23" s="124">
        <v>12.98</v>
      </c>
      <c r="AV23">
        <f t="shared" ref="AV23" si="31">AU23/AU$21</f>
        <v>0.89332415691672407</v>
      </c>
    </row>
    <row r="24" spans="1:54" ht="15" thickBot="1" x14ac:dyDescent="0.4">
      <c r="A24" s="125">
        <v>45</v>
      </c>
      <c r="B24" s="126">
        <v>8833</v>
      </c>
      <c r="C24" s="126">
        <v>2.37</v>
      </c>
      <c r="D24">
        <f t="shared" si="13"/>
        <v>1.1074766355140186</v>
      </c>
      <c r="E24" s="126">
        <v>1.29</v>
      </c>
      <c r="F24">
        <f t="shared" si="13"/>
        <v>0.62621359223300976</v>
      </c>
      <c r="G24" s="125">
        <v>45</v>
      </c>
      <c r="H24" s="126">
        <v>6798</v>
      </c>
      <c r="I24" s="126">
        <v>4.29</v>
      </c>
      <c r="J24">
        <f t="shared" ref="J24" si="32">I24/I$21</f>
        <v>1.0263157894736843</v>
      </c>
      <c r="K24" s="126">
        <v>3.12</v>
      </c>
      <c r="L24">
        <f t="shared" ref="L24" si="33">K24/K$21</f>
        <v>0.74641148325358864</v>
      </c>
      <c r="M24" s="125">
        <v>45</v>
      </c>
      <c r="N24" s="126">
        <v>7736</v>
      </c>
      <c r="O24" s="126">
        <v>5.32</v>
      </c>
      <c r="P24">
        <f t="shared" ref="P24:R24" si="34">O24/O$21</f>
        <v>1.0493096646942801</v>
      </c>
      <c r="Q24" s="126">
        <v>3.62</v>
      </c>
      <c r="R24">
        <f t="shared" si="34"/>
        <v>0.72983870967741937</v>
      </c>
      <c r="S24" s="125">
        <v>45</v>
      </c>
      <c r="T24" s="126">
        <v>10581</v>
      </c>
      <c r="U24" s="126">
        <v>5.56</v>
      </c>
      <c r="V24">
        <f t="shared" ref="V24:X24" si="35">U24/U$21</f>
        <v>1.1053677932405566</v>
      </c>
      <c r="W24" s="126">
        <v>3.75</v>
      </c>
      <c r="X24">
        <f t="shared" si="35"/>
        <v>0.73673870333988212</v>
      </c>
      <c r="Y24" s="125">
        <v>45</v>
      </c>
      <c r="Z24" s="126">
        <v>13040</v>
      </c>
      <c r="AA24" s="126">
        <v>5.24</v>
      </c>
      <c r="AB24">
        <f t="shared" ref="AB24:AD24" si="36">AA24/AA$21</f>
        <v>1.0038314176245211</v>
      </c>
      <c r="AC24" s="126">
        <v>3.44</v>
      </c>
      <c r="AD24">
        <f t="shared" si="36"/>
        <v>0.65774378585086035</v>
      </c>
      <c r="AE24" s="125">
        <v>45</v>
      </c>
      <c r="AF24" s="126">
        <v>7632</v>
      </c>
      <c r="AG24" s="126">
        <v>10.34</v>
      </c>
      <c r="AH24">
        <f t="shared" ref="AH24:AJ24" si="37">AG24/AG$21</f>
        <v>1.0572597137014315</v>
      </c>
      <c r="AI24" s="126">
        <v>7.27</v>
      </c>
      <c r="AJ24">
        <f t="shared" si="37"/>
        <v>0.74948453608247423</v>
      </c>
      <c r="AK24" s="125">
        <v>45</v>
      </c>
      <c r="AL24" s="126">
        <v>7013</v>
      </c>
      <c r="AM24" s="126">
        <v>12</v>
      </c>
      <c r="AN24">
        <f t="shared" ref="AN24:AP24" si="38">AM24/AM$21</f>
        <v>1.0309278350515463</v>
      </c>
      <c r="AO24" s="126">
        <v>8.8699999999999992</v>
      </c>
      <c r="AP24">
        <f t="shared" si="38"/>
        <v>0.7726480836236933</v>
      </c>
      <c r="AQ24" s="125">
        <v>45</v>
      </c>
      <c r="AR24" s="126">
        <v>5534</v>
      </c>
      <c r="AS24" s="126">
        <v>15.12</v>
      </c>
      <c r="AT24">
        <f t="shared" ref="AT24" si="39">AS24/AS$21</f>
        <v>1.0306748466257669</v>
      </c>
      <c r="AU24" s="126">
        <v>12.07</v>
      </c>
      <c r="AV24">
        <f t="shared" ref="AV24" si="40">AU24/AU$21</f>
        <v>0.83069511355815562</v>
      </c>
    </row>
    <row r="25" spans="1:54" ht="15" thickBot="1" x14ac:dyDescent="0.4">
      <c r="A25" s="123">
        <v>60</v>
      </c>
      <c r="B25" s="124">
        <v>11812</v>
      </c>
      <c r="C25" s="124" t="s">
        <v>67</v>
      </c>
      <c r="D25" t="e">
        <f t="shared" si="13"/>
        <v>#VALUE!</v>
      </c>
      <c r="E25" s="124">
        <v>1.05</v>
      </c>
      <c r="F25">
        <f t="shared" si="13"/>
        <v>0.50970873786407767</v>
      </c>
      <c r="G25" s="123">
        <v>60</v>
      </c>
      <c r="H25" s="124">
        <v>9635</v>
      </c>
      <c r="I25" s="124">
        <v>4.33</v>
      </c>
      <c r="J25">
        <f t="shared" ref="J25" si="41">I25/I$21</f>
        <v>1.035885167464115</v>
      </c>
      <c r="K25" s="124">
        <v>2.76</v>
      </c>
      <c r="L25">
        <f t="shared" ref="L25" si="42">K25/K$21</f>
        <v>0.66028708133971292</v>
      </c>
      <c r="M25" s="123">
        <v>60</v>
      </c>
      <c r="N25" s="124">
        <v>9730</v>
      </c>
      <c r="O25" s="124">
        <v>5.38</v>
      </c>
      <c r="P25">
        <f t="shared" ref="P25:R25" si="43">O25/O$21</f>
        <v>1.0611439842209072</v>
      </c>
      <c r="Q25" s="124">
        <v>3.23</v>
      </c>
      <c r="R25">
        <f t="shared" si="43"/>
        <v>0.65120967741935487</v>
      </c>
      <c r="S25" s="123">
        <v>60</v>
      </c>
      <c r="T25" s="124">
        <v>14216</v>
      </c>
      <c r="U25" s="124">
        <v>5.65</v>
      </c>
      <c r="V25">
        <f t="shared" ref="V25:X25" si="44">U25/U$21</f>
        <v>1.1232604373757455</v>
      </c>
      <c r="W25" s="124">
        <v>3.35</v>
      </c>
      <c r="X25">
        <f t="shared" si="44"/>
        <v>0.65815324165029476</v>
      </c>
      <c r="Y25" s="123">
        <v>60</v>
      </c>
      <c r="Z25" s="124">
        <v>16629</v>
      </c>
      <c r="AA25" s="124">
        <v>5.51</v>
      </c>
      <c r="AB25">
        <f t="shared" ref="AB25:AD25" si="45">AA25/AA$21</f>
        <v>1.0555555555555556</v>
      </c>
      <c r="AC25" s="124">
        <v>3</v>
      </c>
      <c r="AD25">
        <f t="shared" si="45"/>
        <v>0.57361376673040143</v>
      </c>
      <c r="AE25" s="123">
        <v>60</v>
      </c>
      <c r="AF25" s="124">
        <v>10298</v>
      </c>
      <c r="AG25" s="124">
        <v>10.71</v>
      </c>
      <c r="AH25">
        <f t="shared" ref="AH25:AJ25" si="46">AG25/AG$21</f>
        <v>1.0950920245398774</v>
      </c>
      <c r="AI25" s="124">
        <v>6.7</v>
      </c>
      <c r="AJ25">
        <f t="shared" si="46"/>
        <v>0.69072164948453618</v>
      </c>
      <c r="AK25" s="123">
        <v>60</v>
      </c>
      <c r="AL25" s="124">
        <v>9744</v>
      </c>
      <c r="AM25" s="124">
        <v>12.16</v>
      </c>
      <c r="AN25">
        <f t="shared" ref="AN25:AP25" si="47">AM25/AM$21</f>
        <v>1.0446735395189004</v>
      </c>
      <c r="AO25" s="124">
        <v>7.88</v>
      </c>
      <c r="AP25">
        <f t="shared" si="47"/>
        <v>0.68641114982578388</v>
      </c>
      <c r="AQ25" s="123">
        <v>60</v>
      </c>
      <c r="AR25" s="124">
        <v>8019</v>
      </c>
      <c r="AS25" s="124">
        <v>15.36</v>
      </c>
      <c r="AT25">
        <f t="shared" ref="AT25" si="48">AS25/AS$21</f>
        <v>1.0470347648261757</v>
      </c>
      <c r="AU25" s="124">
        <v>11.47</v>
      </c>
      <c r="AV25">
        <f t="shared" ref="AV25" si="49">AU25/AU$21</f>
        <v>0.78940123881624236</v>
      </c>
    </row>
    <row r="26" spans="1:54" ht="15" thickBot="1" x14ac:dyDescent="0.4">
      <c r="A26" s="125">
        <v>75</v>
      </c>
      <c r="B26" s="126">
        <v>14872</v>
      </c>
      <c r="C26" s="126" t="s">
        <v>45</v>
      </c>
      <c r="D26" t="e">
        <f t="shared" si="13"/>
        <v>#VALUE!</v>
      </c>
      <c r="E26" s="126">
        <v>0.85</v>
      </c>
      <c r="F26">
        <f t="shared" si="13"/>
        <v>0.41262135922330095</v>
      </c>
      <c r="G26" s="125">
        <v>75</v>
      </c>
      <c r="H26" s="126">
        <v>12568</v>
      </c>
      <c r="I26" s="126">
        <v>4.34</v>
      </c>
      <c r="J26">
        <f t="shared" ref="J26" si="50">I26/I$21</f>
        <v>1.0382775119617225</v>
      </c>
      <c r="K26" s="126">
        <v>2.41</v>
      </c>
      <c r="L26">
        <f t="shared" ref="L26" si="51">K26/K$21</f>
        <v>0.57655502392344504</v>
      </c>
      <c r="M26" s="125">
        <v>75</v>
      </c>
      <c r="N26" s="126">
        <v>13003</v>
      </c>
      <c r="O26" s="126">
        <v>5.48</v>
      </c>
      <c r="P26">
        <f t="shared" ref="P26:R26" si="52">O26/O$21</f>
        <v>1.0808678500986193</v>
      </c>
      <c r="Q26" s="126">
        <v>2.93</v>
      </c>
      <c r="R26">
        <f t="shared" si="52"/>
        <v>0.59072580645161299</v>
      </c>
      <c r="S26" s="125">
        <v>75</v>
      </c>
      <c r="T26" s="126">
        <v>18106</v>
      </c>
      <c r="U26" s="126">
        <v>5.69</v>
      </c>
      <c r="V26">
        <f t="shared" ref="V26:X26" si="53">U26/U$21</f>
        <v>1.1312127236580518</v>
      </c>
      <c r="W26" s="126">
        <v>2.88</v>
      </c>
      <c r="X26">
        <f t="shared" si="53"/>
        <v>0.56581532416502944</v>
      </c>
      <c r="Y26" s="125">
        <v>75</v>
      </c>
      <c r="Z26" s="126">
        <v>21082</v>
      </c>
      <c r="AA26" s="126">
        <v>5.6</v>
      </c>
      <c r="AB26">
        <f t="shared" ref="AB26:AD26" si="54">AA26/AA$21</f>
        <v>1.0727969348659003</v>
      </c>
      <c r="AC26" s="126">
        <v>2.62</v>
      </c>
      <c r="AD26">
        <f t="shared" si="54"/>
        <v>0.50095602294455066</v>
      </c>
      <c r="AE26" s="125">
        <v>75</v>
      </c>
      <c r="AF26" s="126">
        <v>13140</v>
      </c>
      <c r="AG26" s="126">
        <v>10.91</v>
      </c>
      <c r="AH26">
        <f t="shared" ref="AH26:AJ26" si="55">AG26/AG$21</f>
        <v>1.1155419222903886</v>
      </c>
      <c r="AI26" s="126">
        <v>5.54</v>
      </c>
      <c r="AJ26">
        <f t="shared" si="55"/>
        <v>0.57113402061855678</v>
      </c>
      <c r="AK26" s="125">
        <v>75</v>
      </c>
      <c r="AL26" s="126">
        <v>12863</v>
      </c>
      <c r="AM26" s="126">
        <v>12.42</v>
      </c>
      <c r="AN26">
        <f t="shared" ref="AN26:AP26" si="56">AM26/AM$21</f>
        <v>1.0670103092783505</v>
      </c>
      <c r="AO26" s="126">
        <v>6.9</v>
      </c>
      <c r="AP26">
        <f t="shared" si="56"/>
        <v>0.60104529616724744</v>
      </c>
      <c r="AQ26" s="125">
        <v>75</v>
      </c>
      <c r="AR26" s="126">
        <v>10721</v>
      </c>
      <c r="AS26" s="126">
        <v>15.6</v>
      </c>
      <c r="AT26">
        <f t="shared" ref="AT26" si="57">AS26/AS$21</f>
        <v>1.0633946830265848</v>
      </c>
      <c r="AU26" s="126">
        <v>10.6</v>
      </c>
      <c r="AV26">
        <f t="shared" ref="AV26" si="58">AU26/AU$21</f>
        <v>0.72952512044046802</v>
      </c>
    </row>
    <row r="27" spans="1:54" ht="15" thickBot="1" x14ac:dyDescent="0.4">
      <c r="A27" s="123">
        <v>90</v>
      </c>
      <c r="B27" s="124">
        <v>17616</v>
      </c>
      <c r="C27" s="124">
        <v>2.4</v>
      </c>
      <c r="D27">
        <f t="shared" si="13"/>
        <v>1.1214953271028036</v>
      </c>
      <c r="E27" s="124">
        <v>0.69</v>
      </c>
      <c r="F27">
        <f t="shared" si="13"/>
        <v>0.33495145631067957</v>
      </c>
      <c r="G27" s="123">
        <v>90</v>
      </c>
      <c r="H27" s="124">
        <v>15117</v>
      </c>
      <c r="I27" s="124">
        <v>4.3600000000000003</v>
      </c>
      <c r="J27">
        <f t="shared" ref="J27:J31" si="59">I27/I$21</f>
        <v>1.0430622009569379</v>
      </c>
      <c r="K27" s="124">
        <v>2.15</v>
      </c>
      <c r="L27">
        <f t="shared" ref="L27:L31" si="60">K27/K$21</f>
        <v>0.5143540669856459</v>
      </c>
      <c r="M27" s="123">
        <v>90</v>
      </c>
      <c r="N27" s="124">
        <v>16705</v>
      </c>
      <c r="O27" s="124">
        <v>5.57</v>
      </c>
      <c r="P27">
        <f t="shared" ref="P27:R30" si="61">O27/O$21</f>
        <v>1.0986193293885602</v>
      </c>
      <c r="Q27" s="124">
        <v>2.5099999999999998</v>
      </c>
      <c r="R27">
        <f t="shared" si="61"/>
        <v>0.50604838709677413</v>
      </c>
      <c r="S27" s="123">
        <v>90</v>
      </c>
      <c r="T27" s="124">
        <v>21664</v>
      </c>
      <c r="U27" s="124">
        <v>5.87</v>
      </c>
      <c r="V27">
        <f t="shared" ref="V27:X27" si="62">U27/U$21</f>
        <v>1.1669980119284293</v>
      </c>
      <c r="W27" s="124">
        <v>2.6</v>
      </c>
      <c r="X27">
        <f t="shared" si="62"/>
        <v>0.51080550098231825</v>
      </c>
      <c r="Y27" s="123">
        <v>90</v>
      </c>
      <c r="Z27" s="124">
        <v>25818</v>
      </c>
      <c r="AA27" s="124">
        <v>5.74</v>
      </c>
      <c r="AB27">
        <f t="shared" ref="AB27:AD27" si="63">AA27/AA$21</f>
        <v>1.0996168582375481</v>
      </c>
      <c r="AC27" s="124">
        <v>2.23</v>
      </c>
      <c r="AD27">
        <f t="shared" si="63"/>
        <v>0.42638623326959846</v>
      </c>
      <c r="AE27" s="123">
        <v>90</v>
      </c>
      <c r="AF27" s="124">
        <v>16101</v>
      </c>
      <c r="AG27" s="124">
        <v>10.92</v>
      </c>
      <c r="AH27">
        <f t="shared" ref="AH27:AJ27" si="64">AG27/AG$21</f>
        <v>1.1165644171779141</v>
      </c>
      <c r="AI27" s="124">
        <v>4.8499999999999996</v>
      </c>
      <c r="AJ27">
        <f t="shared" si="64"/>
        <v>0.5</v>
      </c>
      <c r="AK27" s="123">
        <v>90</v>
      </c>
      <c r="AL27" s="124">
        <v>15443</v>
      </c>
      <c r="AM27" s="124">
        <v>12.54</v>
      </c>
      <c r="AN27">
        <f t="shared" ref="AN27:AP27" si="65">AM27/AM$21</f>
        <v>1.0773195876288659</v>
      </c>
      <c r="AO27" s="124">
        <v>6.39</v>
      </c>
      <c r="AP27">
        <f t="shared" si="65"/>
        <v>0.55662020905923337</v>
      </c>
      <c r="AQ27" s="123">
        <v>90</v>
      </c>
      <c r="AR27" s="124">
        <v>13541</v>
      </c>
      <c r="AS27" s="124">
        <v>16.010000000000002</v>
      </c>
      <c r="AT27">
        <f t="shared" ref="AT27" si="66">AS27/AS$21</f>
        <v>1.0913428766189504</v>
      </c>
      <c r="AU27" s="124">
        <v>9.7799999999999994</v>
      </c>
      <c r="AV27">
        <f t="shared" ref="AV27" si="67">AU27/AU$21</f>
        <v>0.67309015829318652</v>
      </c>
    </row>
    <row r="28" spans="1:54" ht="15" thickBot="1" x14ac:dyDescent="0.4">
      <c r="A28" s="147"/>
      <c r="B28" s="147"/>
      <c r="C28" s="147"/>
      <c r="D28" s="156"/>
      <c r="E28" s="156"/>
      <c r="G28" s="125">
        <v>105</v>
      </c>
      <c r="H28" s="126">
        <v>18126</v>
      </c>
      <c r="I28" s="126">
        <v>4.37</v>
      </c>
      <c r="J28">
        <f t="shared" si="59"/>
        <v>1.0454545454545456</v>
      </c>
      <c r="K28" s="126">
        <v>1.85</v>
      </c>
      <c r="L28">
        <f t="shared" si="60"/>
        <v>0.4425837320574163</v>
      </c>
      <c r="M28" s="125">
        <v>105</v>
      </c>
      <c r="N28" s="126">
        <v>19854</v>
      </c>
      <c r="O28" s="126">
        <v>5.6</v>
      </c>
      <c r="P28">
        <f t="shared" si="61"/>
        <v>1.1045364891518736</v>
      </c>
      <c r="Q28" s="126">
        <v>2.17</v>
      </c>
      <c r="R28">
        <f t="shared" si="61"/>
        <v>0.4375</v>
      </c>
      <c r="S28" s="125">
        <v>105</v>
      </c>
      <c r="T28" s="126">
        <v>25776</v>
      </c>
      <c r="U28" s="126">
        <v>6.02</v>
      </c>
      <c r="V28">
        <f t="shared" ref="V28:X28" si="68">U28/U$21</f>
        <v>1.1968190854870775</v>
      </c>
      <c r="W28" s="126">
        <v>2.25</v>
      </c>
      <c r="X28">
        <f t="shared" si="68"/>
        <v>0.44204322200392926</v>
      </c>
      <c r="Y28" s="125">
        <v>105</v>
      </c>
      <c r="Z28" s="126">
        <v>29712</v>
      </c>
      <c r="AA28" s="126">
        <v>5.79</v>
      </c>
      <c r="AB28">
        <f t="shared" ref="AB28:AD28" si="69">AA28/AA$21</f>
        <v>1.1091954022988506</v>
      </c>
      <c r="AC28" s="126">
        <v>1.87</v>
      </c>
      <c r="AD28">
        <f t="shared" si="69"/>
        <v>0.35755258126195028</v>
      </c>
      <c r="AG28" s="154"/>
      <c r="AH28" s="154"/>
      <c r="AI28" s="149"/>
      <c r="AJ28" s="149"/>
      <c r="AK28" s="125">
        <v>105</v>
      </c>
      <c r="AL28" s="126">
        <v>18164</v>
      </c>
      <c r="AM28" s="126">
        <v>12.76</v>
      </c>
      <c r="AN28">
        <f>AM28/AM$21</f>
        <v>1.0962199312714775</v>
      </c>
      <c r="AO28" s="126">
        <v>5.72</v>
      </c>
      <c r="AP28">
        <f>AO28/AO$21</f>
        <v>0.49825783972125431</v>
      </c>
      <c r="AQ28" s="125">
        <v>105</v>
      </c>
      <c r="AR28" s="126">
        <v>16601</v>
      </c>
      <c r="AS28" s="126">
        <v>16.05</v>
      </c>
      <c r="AT28">
        <f>AS28/AS$21</f>
        <v>1.0940695296523517</v>
      </c>
      <c r="AU28" s="126">
        <v>8.8800000000000008</v>
      </c>
      <c r="AV28">
        <f>AU28/AU$21</f>
        <v>0.61114934618031669</v>
      </c>
    </row>
    <row r="29" spans="1:54" ht="15" thickBot="1" x14ac:dyDescent="0.4">
      <c r="A29" s="127"/>
      <c r="B29" s="127"/>
      <c r="C29" s="127"/>
      <c r="D29" s="155"/>
      <c r="E29" s="155"/>
      <c r="G29" s="123">
        <v>120</v>
      </c>
      <c r="H29" s="124">
        <v>21751</v>
      </c>
      <c r="I29" s="124">
        <v>4.4800000000000004</v>
      </c>
      <c r="J29">
        <f t="shared" si="59"/>
        <v>1.0717703349282299</v>
      </c>
      <c r="K29" s="124">
        <v>1.64</v>
      </c>
      <c r="L29">
        <f t="shared" si="60"/>
        <v>0.3923444976076555</v>
      </c>
      <c r="M29" s="123">
        <v>120</v>
      </c>
      <c r="N29" s="124">
        <v>24038</v>
      </c>
      <c r="O29" s="124">
        <v>5.66</v>
      </c>
      <c r="P29">
        <f t="shared" si="61"/>
        <v>1.1163708086785009</v>
      </c>
      <c r="Q29" s="124">
        <v>1.87</v>
      </c>
      <c r="R29">
        <f t="shared" si="61"/>
        <v>0.37701612903225806</v>
      </c>
      <c r="S29" s="123">
        <v>120</v>
      </c>
      <c r="T29" s="124">
        <v>28142</v>
      </c>
      <c r="U29" s="124">
        <v>6.06</v>
      </c>
      <c r="V29">
        <f t="shared" ref="V29:X29" si="70">U29/U$21</f>
        <v>1.2047713717693835</v>
      </c>
      <c r="W29" s="124">
        <v>1.95</v>
      </c>
      <c r="X29">
        <f t="shared" si="70"/>
        <v>0.38310412573673869</v>
      </c>
      <c r="Y29" s="123">
        <v>120</v>
      </c>
      <c r="Z29" s="124">
        <v>33472</v>
      </c>
      <c r="AA29" s="124">
        <v>5.93</v>
      </c>
      <c r="AB29">
        <f t="shared" ref="AB29:AD30" si="71">AA29/AA$21</f>
        <v>1.1360153256704981</v>
      </c>
      <c r="AC29" s="124">
        <v>1.66</v>
      </c>
      <c r="AD29">
        <f t="shared" si="71"/>
        <v>0.31739961759082214</v>
      </c>
      <c r="AG29" s="153"/>
      <c r="AH29" s="153"/>
      <c r="AI29" s="128"/>
      <c r="AJ29" s="128"/>
      <c r="AK29" s="123">
        <v>120</v>
      </c>
      <c r="AL29" s="124">
        <v>21902</v>
      </c>
      <c r="AM29" s="124">
        <v>13</v>
      </c>
      <c r="AN29">
        <f t="shared" ref="AN29:AP31" si="72">AM29/AM$21</f>
        <v>1.1168384879725086</v>
      </c>
      <c r="AO29" s="124">
        <v>4.9000000000000004</v>
      </c>
      <c r="AP29">
        <f t="shared" si="72"/>
        <v>0.42682926829268292</v>
      </c>
      <c r="AQ29" s="123">
        <v>120</v>
      </c>
      <c r="AR29" s="124">
        <v>19764</v>
      </c>
      <c r="AS29" s="124">
        <v>16.239999999999998</v>
      </c>
      <c r="AT29">
        <f t="shared" ref="AT29" si="73">AS29/AS$21</f>
        <v>1.1070211315610088</v>
      </c>
      <c r="AU29" s="124">
        <v>8.14</v>
      </c>
      <c r="AV29">
        <f t="shared" ref="AV29" si="74">AU29/AU$21</f>
        <v>0.56022023399862364</v>
      </c>
    </row>
    <row r="30" spans="1:54" ht="15" customHeight="1" thickBot="1" x14ac:dyDescent="0.4">
      <c r="A30" s="127"/>
      <c r="B30" s="127"/>
      <c r="C30" s="127"/>
      <c r="D30" s="155"/>
      <c r="E30" s="155"/>
      <c r="G30" s="125">
        <v>135</v>
      </c>
      <c r="H30" s="126">
        <v>24393</v>
      </c>
      <c r="I30" s="126">
        <v>4.5999999999999996</v>
      </c>
      <c r="J30">
        <f t="shared" si="59"/>
        <v>1.1004784688995215</v>
      </c>
      <c r="K30" s="126">
        <v>1.36</v>
      </c>
      <c r="L30">
        <f t="shared" si="60"/>
        <v>0.32535885167464118</v>
      </c>
      <c r="M30" s="125">
        <v>135</v>
      </c>
      <c r="N30" s="126">
        <v>27246</v>
      </c>
      <c r="O30" s="126">
        <v>5.76</v>
      </c>
      <c r="P30">
        <f t="shared" si="61"/>
        <v>1.1360946745562128</v>
      </c>
      <c r="Q30" s="126">
        <v>1.65</v>
      </c>
      <c r="R30">
        <f t="shared" si="61"/>
        <v>0.33266129032258063</v>
      </c>
      <c r="Y30" s="125">
        <v>135</v>
      </c>
      <c r="Z30" s="126">
        <v>35723</v>
      </c>
      <c r="AA30" s="126">
        <v>5.99</v>
      </c>
      <c r="AB30">
        <f t="shared" si="71"/>
        <v>1.1475095785440614</v>
      </c>
      <c r="AC30" s="126">
        <v>1.52</v>
      </c>
      <c r="AD30">
        <f t="shared" si="71"/>
        <v>0.29063097514340341</v>
      </c>
      <c r="AG30" s="153"/>
      <c r="AH30" s="153"/>
      <c r="AI30" s="128"/>
      <c r="AJ30" s="128"/>
      <c r="AK30" s="125">
        <v>135</v>
      </c>
      <c r="AL30" s="126">
        <v>25103</v>
      </c>
      <c r="AM30" s="126">
        <v>13.11</v>
      </c>
      <c r="AN30">
        <f t="shared" si="72"/>
        <v>1.1262886597938144</v>
      </c>
      <c r="AO30" s="126">
        <v>4.28</v>
      </c>
      <c r="AP30">
        <f t="shared" si="72"/>
        <v>0.37282229965156793</v>
      </c>
      <c r="AQ30" s="125">
        <v>135</v>
      </c>
      <c r="AR30" s="126">
        <v>22803</v>
      </c>
      <c r="AS30" s="126">
        <v>16.46</v>
      </c>
      <c r="AT30">
        <f t="shared" ref="AT30" si="75">AS30/AS$21</f>
        <v>1.1220177232447173</v>
      </c>
      <c r="AU30" s="126">
        <v>7.5</v>
      </c>
      <c r="AV30">
        <f t="shared" ref="AV30" si="76">AU30/AU$21</f>
        <v>0.51617343427391604</v>
      </c>
    </row>
    <row r="31" spans="1:54" ht="15" thickBot="1" x14ac:dyDescent="0.4">
      <c r="A31" s="127"/>
      <c r="B31" s="127"/>
      <c r="C31" s="127"/>
      <c r="D31" s="155"/>
      <c r="E31" s="155"/>
      <c r="G31" s="123">
        <v>150</v>
      </c>
      <c r="H31" s="124">
        <v>26914</v>
      </c>
      <c r="I31" s="124">
        <v>4.5999999999999996</v>
      </c>
      <c r="J31">
        <f t="shared" si="59"/>
        <v>1.1004784688995215</v>
      </c>
      <c r="K31" s="124">
        <v>1.27</v>
      </c>
      <c r="L31">
        <f t="shared" si="60"/>
        <v>0.30382775119617228</v>
      </c>
      <c r="U31" s="146"/>
      <c r="V31" s="147"/>
      <c r="W31" s="147"/>
      <c r="X31" s="147"/>
      <c r="AK31" s="123">
        <v>150</v>
      </c>
      <c r="AL31" s="124">
        <v>27511</v>
      </c>
      <c r="AM31" s="124">
        <v>13.18</v>
      </c>
      <c r="AN31">
        <f t="shared" si="72"/>
        <v>1.1323024054982818</v>
      </c>
      <c r="AO31" s="124">
        <v>3.99</v>
      </c>
      <c r="AP31">
        <f t="shared" si="72"/>
        <v>0.34756097560975613</v>
      </c>
      <c r="AQ31" s="123">
        <v>150</v>
      </c>
      <c r="AR31" s="124">
        <v>26040</v>
      </c>
      <c r="AS31" s="124">
        <v>16.739999999999998</v>
      </c>
      <c r="AT31">
        <f t="shared" ref="AT31" si="77">AS31/AS$21</f>
        <v>1.1411042944785275</v>
      </c>
      <c r="AU31" s="124">
        <v>6.76</v>
      </c>
      <c r="AV31">
        <f t="shared" ref="AV31" si="78">AU31/AU$21</f>
        <v>0.46524432209222299</v>
      </c>
    </row>
    <row r="42" ht="15" customHeight="1" x14ac:dyDescent="0.35"/>
  </sheetData>
  <mergeCells count="19">
    <mergeCell ref="G19:J19"/>
    <mergeCell ref="M19:P19"/>
    <mergeCell ref="AN16:AR16"/>
    <mergeCell ref="AN17:AR17"/>
    <mergeCell ref="AT1:AW17"/>
    <mergeCell ref="A19:D19"/>
    <mergeCell ref="AH1:AL1"/>
    <mergeCell ref="AN1:AR1"/>
    <mergeCell ref="AN15:AR15"/>
    <mergeCell ref="R1:U1"/>
    <mergeCell ref="W1:Z1"/>
    <mergeCell ref="AB1:AF1"/>
    <mergeCell ref="M1:P1"/>
    <mergeCell ref="A1:E1"/>
    <mergeCell ref="G1:K1"/>
    <mergeCell ref="G12:K12"/>
    <mergeCell ref="G13:K13"/>
    <mergeCell ref="G14:K14"/>
    <mergeCell ref="G15:K15"/>
  </mergeCells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D1F6-1DF9-4342-8131-2E9BD26823A8}">
  <sheetPr codeName="Hoja3"/>
  <dimension ref="A1:K25"/>
  <sheetViews>
    <sheetView workbookViewId="0">
      <selection activeCell="M1" sqref="M1"/>
    </sheetView>
  </sheetViews>
  <sheetFormatPr baseColWidth="10" defaultRowHeight="14.5" x14ac:dyDescent="0.35"/>
  <sheetData>
    <row r="1" spans="1:11" ht="24.5" thickBot="1" x14ac:dyDescent="0.4">
      <c r="A1" s="4" t="s">
        <v>22</v>
      </c>
      <c r="B1" s="5" t="s">
        <v>23</v>
      </c>
      <c r="C1" s="5" t="s">
        <v>24</v>
      </c>
      <c r="D1" s="5" t="s">
        <v>25</v>
      </c>
      <c r="E1" s="5" t="s">
        <v>26</v>
      </c>
      <c r="F1" s="5" t="s">
        <v>27</v>
      </c>
      <c r="G1" s="5" t="s">
        <v>28</v>
      </c>
      <c r="H1" s="5" t="s">
        <v>29</v>
      </c>
      <c r="I1" s="5" t="s">
        <v>30</v>
      </c>
      <c r="J1" s="5" t="s">
        <v>31</v>
      </c>
    </row>
    <row r="2" spans="1:11" ht="15" thickBot="1" x14ac:dyDescent="0.4">
      <c r="A2" s="6" t="s">
        <v>32</v>
      </c>
      <c r="B2" s="6" t="s">
        <v>0</v>
      </c>
      <c r="C2" s="6" t="s">
        <v>33</v>
      </c>
      <c r="D2" s="7">
        <v>44889</v>
      </c>
      <c r="E2" s="6">
        <f t="shared" ref="E2:E9" si="0">_xlfn.RANK.EQ(D2,$D$2:$D$27,1)</f>
        <v>4</v>
      </c>
      <c r="F2" s="6">
        <v>14</v>
      </c>
      <c r="G2" s="8">
        <f>F2/151.163*1000</f>
        <v>92.61525637887577</v>
      </c>
      <c r="H2" s="6">
        <v>120</v>
      </c>
      <c r="I2" s="6">
        <v>19.7</v>
      </c>
      <c r="J2" s="6">
        <v>8635</v>
      </c>
      <c r="K2" s="6" t="s">
        <v>34</v>
      </c>
    </row>
    <row r="3" spans="1:11" ht="15" thickBot="1" x14ac:dyDescent="0.4">
      <c r="A3" s="6" t="s">
        <v>35</v>
      </c>
      <c r="B3" s="6" t="s">
        <v>1</v>
      </c>
      <c r="C3" s="6" t="s">
        <v>33</v>
      </c>
      <c r="D3" s="7">
        <v>44882</v>
      </c>
      <c r="E3" s="6">
        <f t="shared" si="0"/>
        <v>1</v>
      </c>
      <c r="F3" s="6">
        <v>6</v>
      </c>
      <c r="G3" s="8">
        <f t="shared" ref="G3:G11" si="1">F3/151.163*1000</f>
        <v>39.692252733803905</v>
      </c>
      <c r="H3" s="6">
        <v>120</v>
      </c>
      <c r="I3" s="6">
        <v>21.84</v>
      </c>
      <c r="J3" s="6">
        <v>6026</v>
      </c>
      <c r="K3" s="6" t="s">
        <v>34</v>
      </c>
    </row>
    <row r="4" spans="1:11" ht="15" thickBot="1" x14ac:dyDescent="0.4">
      <c r="A4" s="6" t="s">
        <v>36</v>
      </c>
      <c r="B4" s="6" t="s">
        <v>2</v>
      </c>
      <c r="C4" s="6" t="s">
        <v>33</v>
      </c>
      <c r="D4" s="7">
        <v>44890</v>
      </c>
      <c r="E4" s="6">
        <f t="shared" si="0"/>
        <v>5</v>
      </c>
      <c r="F4" s="6">
        <v>14</v>
      </c>
      <c r="G4" s="8">
        <f t="shared" si="1"/>
        <v>92.61525637887577</v>
      </c>
      <c r="H4" s="6">
        <v>200</v>
      </c>
      <c r="I4" s="6">
        <v>18.3</v>
      </c>
      <c r="J4" s="6">
        <v>13353</v>
      </c>
      <c r="K4" s="6" t="s">
        <v>34</v>
      </c>
    </row>
    <row r="5" spans="1:11" ht="15" thickBot="1" x14ac:dyDescent="0.4">
      <c r="A5" s="6" t="s">
        <v>37</v>
      </c>
      <c r="B5" s="6" t="s">
        <v>38</v>
      </c>
      <c r="C5" s="6" t="s">
        <v>33</v>
      </c>
      <c r="D5" s="7">
        <v>44887</v>
      </c>
      <c r="E5" s="6">
        <f t="shared" si="0"/>
        <v>2</v>
      </c>
      <c r="F5" s="6">
        <v>10</v>
      </c>
      <c r="G5" s="8">
        <f t="shared" si="1"/>
        <v>66.153754556339848</v>
      </c>
      <c r="H5" s="6">
        <v>160</v>
      </c>
      <c r="I5" s="6">
        <v>13.79</v>
      </c>
      <c r="J5" s="6">
        <v>3255</v>
      </c>
      <c r="K5" s="6" t="s">
        <v>34</v>
      </c>
    </row>
    <row r="6" spans="1:11" ht="15" thickBot="1" x14ac:dyDescent="0.4">
      <c r="A6" s="6" t="s">
        <v>39</v>
      </c>
      <c r="B6" s="6" t="s">
        <v>40</v>
      </c>
      <c r="C6" s="6" t="s">
        <v>33</v>
      </c>
      <c r="D6" s="7">
        <v>44888</v>
      </c>
      <c r="E6" s="6">
        <f t="shared" si="0"/>
        <v>3</v>
      </c>
      <c r="F6" s="6">
        <v>10</v>
      </c>
      <c r="G6" s="8">
        <f t="shared" si="1"/>
        <v>66.153754556339848</v>
      </c>
      <c r="H6" s="6">
        <v>160</v>
      </c>
      <c r="I6" s="6">
        <v>22.15</v>
      </c>
      <c r="J6" s="6">
        <v>13323</v>
      </c>
      <c r="K6" s="6" t="s">
        <v>34</v>
      </c>
    </row>
    <row r="7" spans="1:11" ht="15" thickBot="1" x14ac:dyDescent="0.4">
      <c r="A7" s="6" t="s">
        <v>41</v>
      </c>
      <c r="B7" s="6" t="s">
        <v>42</v>
      </c>
      <c r="C7" s="6" t="s">
        <v>33</v>
      </c>
      <c r="D7" s="7">
        <v>44894</v>
      </c>
      <c r="E7" s="6">
        <f t="shared" si="0"/>
        <v>6</v>
      </c>
      <c r="F7" s="6">
        <v>10</v>
      </c>
      <c r="G7" s="8">
        <f t="shared" si="1"/>
        <v>66.153754556339848</v>
      </c>
      <c r="H7" s="6">
        <v>160</v>
      </c>
      <c r="I7" s="6">
        <v>19.75</v>
      </c>
      <c r="J7" s="6">
        <v>17148</v>
      </c>
      <c r="K7" s="6" t="s">
        <v>34</v>
      </c>
    </row>
    <row r="8" spans="1:11" ht="15" thickBot="1" x14ac:dyDescent="0.4">
      <c r="A8" s="6" t="s">
        <v>43</v>
      </c>
      <c r="B8" s="6" t="s">
        <v>3</v>
      </c>
      <c r="C8" s="6" t="s">
        <v>33</v>
      </c>
      <c r="D8" s="7">
        <v>44896</v>
      </c>
      <c r="E8" s="6">
        <f t="shared" si="0"/>
        <v>8</v>
      </c>
      <c r="F8" s="6">
        <v>4</v>
      </c>
      <c r="G8" s="8">
        <f t="shared" si="1"/>
        <v>26.461501822535936</v>
      </c>
      <c r="H8" s="6">
        <v>160</v>
      </c>
      <c r="I8" s="6">
        <v>19</v>
      </c>
      <c r="J8" s="6">
        <v>13314</v>
      </c>
      <c r="K8" s="6" t="s">
        <v>34</v>
      </c>
    </row>
    <row r="9" spans="1:11" ht="15" thickBot="1" x14ac:dyDescent="0.4">
      <c r="A9" s="6" t="s">
        <v>44</v>
      </c>
      <c r="B9" s="6" t="s">
        <v>4</v>
      </c>
      <c r="C9" s="6" t="s">
        <v>33</v>
      </c>
      <c r="D9" s="7">
        <v>44895</v>
      </c>
      <c r="E9" s="6">
        <f t="shared" si="0"/>
        <v>7</v>
      </c>
      <c r="F9" s="6">
        <v>16</v>
      </c>
      <c r="G9" s="8">
        <f t="shared" si="1"/>
        <v>105.84600729014375</v>
      </c>
      <c r="H9" s="6">
        <v>160</v>
      </c>
      <c r="I9" s="6" t="s">
        <v>45</v>
      </c>
      <c r="J9" s="6">
        <v>9178</v>
      </c>
      <c r="K9" s="6" t="s">
        <v>34</v>
      </c>
    </row>
    <row r="10" spans="1:11" ht="15" thickBot="1" x14ac:dyDescent="0.4">
      <c r="A10" s="9"/>
      <c r="B10" s="10"/>
      <c r="C10" s="10"/>
      <c r="D10" s="11"/>
      <c r="E10" s="10"/>
      <c r="F10" s="10"/>
      <c r="G10" s="12"/>
      <c r="H10" s="10"/>
      <c r="I10" s="10"/>
      <c r="J10" s="10"/>
      <c r="K10" s="13"/>
    </row>
    <row r="11" spans="1:11" ht="15" thickBot="1" x14ac:dyDescent="0.4">
      <c r="A11" s="6" t="s">
        <v>46</v>
      </c>
      <c r="B11" s="6" t="s">
        <v>6</v>
      </c>
      <c r="C11" s="6" t="s">
        <v>47</v>
      </c>
      <c r="D11" s="7">
        <v>45006</v>
      </c>
      <c r="E11" s="6">
        <f t="shared" ref="E11:E19" si="2">_xlfn.RANK.EQ(D11,$D$2:$D$27,1)</f>
        <v>10</v>
      </c>
      <c r="F11" s="6">
        <v>2</v>
      </c>
      <c r="G11" s="8">
        <f t="shared" si="1"/>
        <v>13.230750911267968</v>
      </c>
      <c r="H11" s="6">
        <v>200</v>
      </c>
      <c r="I11" s="6">
        <v>23.71</v>
      </c>
      <c r="J11" s="6">
        <v>17616</v>
      </c>
      <c r="K11" s="6" t="s">
        <v>34</v>
      </c>
    </row>
    <row r="12" spans="1:11" ht="15" thickBot="1" x14ac:dyDescent="0.4">
      <c r="A12" s="6" t="s">
        <v>48</v>
      </c>
      <c r="B12" s="6" t="s">
        <v>11</v>
      </c>
      <c r="C12" s="6" t="s">
        <v>47</v>
      </c>
      <c r="D12" s="7">
        <v>45040</v>
      </c>
      <c r="E12" s="6">
        <f t="shared" si="2"/>
        <v>15</v>
      </c>
      <c r="F12" s="6">
        <v>4</v>
      </c>
      <c r="G12" s="8">
        <f t="shared" ref="G12:G19" si="3">F12/151.163*1000</f>
        <v>26.461501822535936</v>
      </c>
      <c r="H12" s="6">
        <v>160</v>
      </c>
      <c r="I12" s="6">
        <v>20.82</v>
      </c>
      <c r="J12" s="6">
        <v>26914</v>
      </c>
      <c r="K12" s="6" t="s">
        <v>34</v>
      </c>
    </row>
    <row r="13" spans="1:11" ht="15" thickBot="1" x14ac:dyDescent="0.4">
      <c r="A13" s="6" t="s">
        <v>49</v>
      </c>
      <c r="B13" s="6" t="s">
        <v>7</v>
      </c>
      <c r="C13" s="6" t="s">
        <v>47</v>
      </c>
      <c r="D13" s="7">
        <v>45009</v>
      </c>
      <c r="E13" s="6">
        <f t="shared" si="2"/>
        <v>11</v>
      </c>
      <c r="F13" s="6">
        <v>5</v>
      </c>
      <c r="G13" s="8">
        <f t="shared" si="3"/>
        <v>33.076877278169924</v>
      </c>
      <c r="H13" s="6">
        <v>160</v>
      </c>
      <c r="I13" s="6">
        <v>23.1</v>
      </c>
      <c r="J13" s="6">
        <v>27246</v>
      </c>
      <c r="K13" s="6" t="s">
        <v>34</v>
      </c>
    </row>
    <row r="14" spans="1:11" ht="15" thickBot="1" x14ac:dyDescent="0.4">
      <c r="A14" s="6" t="s">
        <v>50</v>
      </c>
      <c r="B14" s="6" t="s">
        <v>10</v>
      </c>
      <c r="C14" s="6" t="s">
        <v>47</v>
      </c>
      <c r="D14" s="7">
        <v>45030</v>
      </c>
      <c r="E14" s="6">
        <f t="shared" si="2"/>
        <v>14</v>
      </c>
      <c r="F14" s="6">
        <v>5</v>
      </c>
      <c r="G14" s="8">
        <f t="shared" si="3"/>
        <v>33.076877278169924</v>
      </c>
      <c r="H14" s="6">
        <v>160</v>
      </c>
      <c r="I14" s="6">
        <v>22.78</v>
      </c>
      <c r="J14" s="6">
        <v>28142</v>
      </c>
      <c r="K14" s="6" t="s">
        <v>34</v>
      </c>
    </row>
    <row r="15" spans="1:11" ht="15" thickBot="1" x14ac:dyDescent="0.4">
      <c r="A15" s="6" t="s">
        <v>51</v>
      </c>
      <c r="B15" s="6" t="s">
        <v>14</v>
      </c>
      <c r="C15" s="6" t="s">
        <v>47</v>
      </c>
      <c r="D15" s="7">
        <v>45048</v>
      </c>
      <c r="E15" s="6">
        <f t="shared" si="2"/>
        <v>17</v>
      </c>
      <c r="F15" s="6">
        <v>5</v>
      </c>
      <c r="G15" s="8">
        <f t="shared" si="3"/>
        <v>33.076877278169924</v>
      </c>
      <c r="H15" s="6">
        <v>120</v>
      </c>
      <c r="I15" s="6">
        <v>23.8</v>
      </c>
      <c r="J15" s="6">
        <v>35723</v>
      </c>
      <c r="K15" s="6" t="s">
        <v>34</v>
      </c>
    </row>
    <row r="16" spans="1:11" ht="15" thickBot="1" x14ac:dyDescent="0.4">
      <c r="A16" s="6" t="s">
        <v>52</v>
      </c>
      <c r="B16" s="6" t="s">
        <v>5</v>
      </c>
      <c r="C16" s="6" t="s">
        <v>47</v>
      </c>
      <c r="D16" s="7">
        <v>44998</v>
      </c>
      <c r="E16" s="6">
        <f t="shared" si="2"/>
        <v>9</v>
      </c>
      <c r="F16" s="6">
        <v>10</v>
      </c>
      <c r="G16" s="8">
        <f t="shared" si="3"/>
        <v>66.153754556339848</v>
      </c>
      <c r="H16" s="6">
        <v>160</v>
      </c>
      <c r="I16" s="6">
        <v>23.14</v>
      </c>
      <c r="J16" s="6">
        <v>16101</v>
      </c>
      <c r="K16" s="6" t="s">
        <v>34</v>
      </c>
    </row>
    <row r="17" spans="1:11" ht="15" thickBot="1" x14ac:dyDescent="0.4">
      <c r="A17" s="6" t="s">
        <v>53</v>
      </c>
      <c r="B17" s="6" t="s">
        <v>8</v>
      </c>
      <c r="C17" s="6" t="s">
        <v>47</v>
      </c>
      <c r="D17" s="7">
        <v>45013</v>
      </c>
      <c r="E17" s="6">
        <f t="shared" si="2"/>
        <v>12</v>
      </c>
      <c r="F17" s="6">
        <v>12</v>
      </c>
      <c r="G17" s="8">
        <f t="shared" si="3"/>
        <v>79.384505467607809</v>
      </c>
      <c r="H17" s="6">
        <v>160</v>
      </c>
      <c r="I17" s="6">
        <v>22.09</v>
      </c>
      <c r="J17" s="6">
        <v>27511</v>
      </c>
      <c r="K17" s="6" t="s">
        <v>34</v>
      </c>
    </row>
    <row r="18" spans="1:11" ht="15" thickBot="1" x14ac:dyDescent="0.4">
      <c r="A18" s="6" t="s">
        <v>54</v>
      </c>
      <c r="B18" s="6" t="s">
        <v>9</v>
      </c>
      <c r="C18" s="6" t="s">
        <v>47</v>
      </c>
      <c r="D18" s="7">
        <v>45015</v>
      </c>
      <c r="E18" s="6">
        <f t="shared" si="2"/>
        <v>13</v>
      </c>
      <c r="F18" s="6">
        <v>15</v>
      </c>
      <c r="G18" s="8">
        <f t="shared" si="3"/>
        <v>99.230631834509765</v>
      </c>
      <c r="H18" s="6">
        <v>160</v>
      </c>
      <c r="I18" s="6">
        <v>20.91</v>
      </c>
      <c r="J18" s="6">
        <v>26040</v>
      </c>
      <c r="K18" s="6" t="s">
        <v>34</v>
      </c>
    </row>
    <row r="19" spans="1:11" ht="15" thickBot="1" x14ac:dyDescent="0.4">
      <c r="A19" s="6" t="s">
        <v>55</v>
      </c>
      <c r="B19" s="6" t="s">
        <v>15</v>
      </c>
      <c r="C19" s="6" t="s">
        <v>47</v>
      </c>
      <c r="D19" s="7">
        <v>45051</v>
      </c>
      <c r="E19" s="6">
        <f t="shared" si="2"/>
        <v>18</v>
      </c>
      <c r="F19" s="6">
        <v>15</v>
      </c>
      <c r="G19" s="8">
        <f t="shared" si="3"/>
        <v>99.230631834509765</v>
      </c>
      <c r="H19" s="6">
        <v>120</v>
      </c>
      <c r="I19" s="6">
        <v>22</v>
      </c>
      <c r="J19" s="6">
        <v>33157</v>
      </c>
      <c r="K19" s="6" t="s">
        <v>34</v>
      </c>
    </row>
    <row r="20" spans="1:11" ht="15" thickBot="1" x14ac:dyDescent="0.4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</row>
    <row r="21" spans="1:11" ht="15" thickBot="1" x14ac:dyDescent="0.4">
      <c r="A21" s="15" t="s">
        <v>56</v>
      </c>
      <c r="B21" s="15" t="s">
        <v>12</v>
      </c>
      <c r="C21" s="15" t="s">
        <v>47</v>
      </c>
      <c r="D21" s="16">
        <v>45041</v>
      </c>
      <c r="E21" s="15">
        <f>_xlfn.RANK.EQ(D21,$D$2:$D$27,1)</f>
        <v>16</v>
      </c>
      <c r="F21" s="15">
        <v>6</v>
      </c>
      <c r="G21" s="17">
        <f>F21/151.163*1000</f>
        <v>39.692252733803905</v>
      </c>
      <c r="H21" s="15">
        <v>160</v>
      </c>
      <c r="I21" s="15">
        <v>20</v>
      </c>
      <c r="J21" s="15">
        <v>19625</v>
      </c>
      <c r="K21" s="15" t="s">
        <v>57</v>
      </c>
    </row>
    <row r="22" spans="1:11" ht="15" thickBot="1" x14ac:dyDescent="0.4"/>
    <row r="23" spans="1:11" ht="24.5" thickBot="1" x14ac:dyDescent="0.4">
      <c r="A23" s="6" t="s">
        <v>58</v>
      </c>
      <c r="B23" s="6" t="s">
        <v>13</v>
      </c>
      <c r="C23" s="6" t="s">
        <v>47</v>
      </c>
      <c r="D23" s="7">
        <v>45064</v>
      </c>
      <c r="E23" s="6">
        <f>_xlfn.RANK.EQ(D23,$D$2:$D$27,1)</f>
        <v>19</v>
      </c>
      <c r="F23" s="6">
        <v>10</v>
      </c>
      <c r="G23" s="8">
        <f>F23/151.163*1000</f>
        <v>66.153754556339848</v>
      </c>
      <c r="H23" s="6">
        <v>160</v>
      </c>
      <c r="I23" s="6">
        <v>22.18</v>
      </c>
      <c r="J23" s="6">
        <v>18802</v>
      </c>
      <c r="K23" s="6" t="s">
        <v>59</v>
      </c>
    </row>
    <row r="24" spans="1:11" ht="48.5" thickBot="1" x14ac:dyDescent="0.4">
      <c r="A24" s="6" t="s">
        <v>60</v>
      </c>
      <c r="B24" s="6" t="s">
        <v>61</v>
      </c>
      <c r="C24" s="6" t="s">
        <v>47</v>
      </c>
      <c r="D24" s="7">
        <v>45072</v>
      </c>
      <c r="E24" s="6">
        <f>_xlfn.RANK.EQ(D24,$D$2:$D$27,1)</f>
        <v>20</v>
      </c>
      <c r="F24" s="6">
        <v>10</v>
      </c>
      <c r="G24" s="8">
        <f>F24/151.163*1000</f>
        <v>66.153754556339848</v>
      </c>
      <c r="H24" s="6">
        <v>160</v>
      </c>
      <c r="I24" s="6" t="s">
        <v>45</v>
      </c>
      <c r="J24" s="6"/>
      <c r="K24" s="6" t="s">
        <v>62</v>
      </c>
    </row>
    <row r="25" spans="1:11" ht="48.5" thickBot="1" x14ac:dyDescent="0.4">
      <c r="A25" s="6" t="s">
        <v>63</v>
      </c>
      <c r="B25" s="6" t="s">
        <v>64</v>
      </c>
      <c r="C25" s="6" t="s">
        <v>47</v>
      </c>
      <c r="D25" s="7">
        <v>45083</v>
      </c>
      <c r="E25" s="6">
        <f>_xlfn.RANK.EQ(D25,$D$2:$D$27,1)</f>
        <v>21</v>
      </c>
      <c r="F25" s="6">
        <v>10</v>
      </c>
      <c r="G25" s="8">
        <f>F25/151.163*1000</f>
        <v>66.153754556339848</v>
      </c>
      <c r="H25" s="6">
        <v>160</v>
      </c>
      <c r="I25" s="6" t="s">
        <v>45</v>
      </c>
      <c r="J25" s="6"/>
      <c r="K25" s="6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B18"/>
  <sheetViews>
    <sheetView tabSelected="1" zoomScale="85" zoomScaleNormal="85" workbookViewId="0">
      <pane xSplit="1" topLeftCell="G1" activePane="topRight" state="frozen"/>
      <selection pane="topRight" activeCell="O10" sqref="O10"/>
    </sheetView>
  </sheetViews>
  <sheetFormatPr baseColWidth="10" defaultColWidth="9.1796875" defaultRowHeight="14.5" x14ac:dyDescent="0.35"/>
  <cols>
    <col min="1" max="1" width="25" customWidth="1"/>
    <col min="2" max="2" width="10" bestFit="1" customWidth="1"/>
    <col min="3" max="5" width="9.26953125" bestFit="1" customWidth="1"/>
    <col min="6" max="6" width="10" bestFit="1" customWidth="1"/>
    <col min="7" max="8" width="10.08984375" bestFit="1" customWidth="1"/>
    <col min="9" max="9" width="9.36328125" bestFit="1" customWidth="1"/>
    <col min="10" max="13" width="9.26953125" bestFit="1" customWidth="1"/>
    <col min="14" max="14" width="10" bestFit="1" customWidth="1"/>
    <col min="15" max="17" width="9.26953125" bestFit="1" customWidth="1"/>
    <col min="18" max="18" width="10" bestFit="1" customWidth="1"/>
    <col min="19" max="21" width="9.26953125" bestFit="1" customWidth="1"/>
    <col min="22" max="22" width="10" bestFit="1" customWidth="1"/>
    <col min="23" max="25" width="9.26953125" bestFit="1" customWidth="1"/>
    <col min="26" max="26" width="10" bestFit="1" customWidth="1"/>
    <col min="27" max="29" width="9.26953125" bestFit="1" customWidth="1"/>
    <col min="30" max="30" width="10" bestFit="1" customWidth="1"/>
    <col min="31" max="32" width="9.26953125" bestFit="1" customWidth="1"/>
    <col min="33" max="33" width="9.26953125" customWidth="1"/>
    <col min="34" max="35" width="9.26953125" bestFit="1" customWidth="1"/>
    <col min="36" max="36" width="10" bestFit="1" customWidth="1"/>
    <col min="37" max="38" width="9.26953125" bestFit="1" customWidth="1"/>
    <col min="39" max="39" width="9.26953125" customWidth="1"/>
    <col min="40" max="41" width="9.26953125" bestFit="1" customWidth="1"/>
    <col min="42" max="42" width="10" bestFit="1" customWidth="1"/>
    <col min="43" max="45" width="9.26953125" bestFit="1" customWidth="1"/>
    <col min="46" max="46" width="10" bestFit="1" customWidth="1"/>
    <col min="47" max="49" width="9.26953125" bestFit="1" customWidth="1"/>
    <col min="50" max="50" width="10" bestFit="1" customWidth="1"/>
    <col min="51" max="54" width="9.26953125" bestFit="1" customWidth="1"/>
  </cols>
  <sheetData>
    <row r="1" spans="1:54" ht="15" thickBot="1" x14ac:dyDescent="0.4">
      <c r="A1" s="1"/>
      <c r="B1" s="115" t="s">
        <v>71</v>
      </c>
      <c r="C1" s="115"/>
      <c r="D1" s="115"/>
      <c r="E1" s="115"/>
      <c r="F1" s="115"/>
      <c r="G1" s="115"/>
      <c r="H1" s="115" t="s">
        <v>73</v>
      </c>
      <c r="I1" s="115"/>
      <c r="J1" s="115"/>
      <c r="K1" s="115"/>
      <c r="L1" s="115"/>
      <c r="M1" s="115"/>
      <c r="N1" s="115" t="s">
        <v>74</v>
      </c>
      <c r="O1" s="115"/>
      <c r="P1" s="115"/>
      <c r="Q1" s="115"/>
      <c r="R1" s="115" t="s">
        <v>75</v>
      </c>
      <c r="S1" s="115"/>
      <c r="T1" s="115"/>
      <c r="U1" s="115"/>
      <c r="V1" s="115" t="s">
        <v>76</v>
      </c>
      <c r="W1" s="115"/>
      <c r="X1" s="115"/>
      <c r="Y1" s="115"/>
      <c r="Z1" s="115" t="s">
        <v>77</v>
      </c>
      <c r="AA1" s="115"/>
      <c r="AB1" s="115"/>
      <c r="AC1" s="115"/>
      <c r="AD1" s="115" t="s">
        <v>79</v>
      </c>
      <c r="AE1" s="115"/>
      <c r="AF1" s="115"/>
      <c r="AG1" s="115"/>
      <c r="AH1" s="115"/>
      <c r="AI1" s="115"/>
      <c r="AJ1" s="115" t="s">
        <v>80</v>
      </c>
      <c r="AK1" s="115"/>
      <c r="AL1" s="115"/>
      <c r="AM1" s="115"/>
      <c r="AN1" s="115"/>
      <c r="AO1" s="115"/>
      <c r="AP1" s="115" t="s">
        <v>16</v>
      </c>
      <c r="AQ1" s="115"/>
      <c r="AR1" s="115"/>
      <c r="AS1" s="115"/>
      <c r="AT1" s="115" t="s">
        <v>66</v>
      </c>
      <c r="AU1" s="115"/>
      <c r="AV1" s="115"/>
      <c r="AW1" s="115"/>
      <c r="AX1" s="115" t="s">
        <v>82</v>
      </c>
      <c r="AY1" s="115"/>
      <c r="AZ1" s="115"/>
      <c r="BA1" s="115"/>
      <c r="BB1" s="115"/>
    </row>
    <row r="2" spans="1:54" ht="15" thickBot="1" x14ac:dyDescent="0.4">
      <c r="A2" s="3" t="s">
        <v>17</v>
      </c>
      <c r="B2" s="29" t="s">
        <v>18</v>
      </c>
      <c r="C2" s="27" t="s">
        <v>68</v>
      </c>
      <c r="D2" s="27" t="s">
        <v>69</v>
      </c>
      <c r="E2" s="27" t="s">
        <v>70</v>
      </c>
      <c r="F2" s="27" t="s">
        <v>19</v>
      </c>
      <c r="G2" s="28" t="s">
        <v>20</v>
      </c>
      <c r="H2" s="41" t="s">
        <v>72</v>
      </c>
      <c r="I2" s="42" t="s">
        <v>68</v>
      </c>
      <c r="J2" s="42" t="s">
        <v>69</v>
      </c>
      <c r="K2" s="42" t="s">
        <v>70</v>
      </c>
      <c r="L2" s="42" t="s">
        <v>19</v>
      </c>
      <c r="M2" s="43" t="s">
        <v>20</v>
      </c>
      <c r="N2" s="29" t="s">
        <v>72</v>
      </c>
      <c r="O2" s="27" t="s">
        <v>21</v>
      </c>
      <c r="P2" s="27" t="s">
        <v>19</v>
      </c>
      <c r="Q2" s="28" t="s">
        <v>20</v>
      </c>
      <c r="R2" s="41" t="s">
        <v>72</v>
      </c>
      <c r="S2" s="42" t="s">
        <v>21</v>
      </c>
      <c r="T2" s="42" t="s">
        <v>19</v>
      </c>
      <c r="U2" s="43" t="s">
        <v>20</v>
      </c>
      <c r="V2" s="29" t="s">
        <v>18</v>
      </c>
      <c r="W2" s="27" t="s">
        <v>68</v>
      </c>
      <c r="X2" s="27" t="s">
        <v>19</v>
      </c>
      <c r="Y2" s="28" t="s">
        <v>20</v>
      </c>
      <c r="Z2" s="41" t="s">
        <v>18</v>
      </c>
      <c r="AA2" s="42" t="s">
        <v>68</v>
      </c>
      <c r="AB2" s="42" t="s">
        <v>19</v>
      </c>
      <c r="AC2" s="43" t="s">
        <v>20</v>
      </c>
      <c r="AD2" s="78" t="s">
        <v>72</v>
      </c>
      <c r="AE2" s="77" t="s">
        <v>21</v>
      </c>
      <c r="AF2" s="77" t="s">
        <v>78</v>
      </c>
      <c r="AG2" s="77" t="s">
        <v>83</v>
      </c>
      <c r="AH2" s="77" t="s">
        <v>19</v>
      </c>
      <c r="AI2" s="79" t="s">
        <v>20</v>
      </c>
      <c r="AJ2" s="81" t="s">
        <v>72</v>
      </c>
      <c r="AK2" s="80" t="s">
        <v>21</v>
      </c>
      <c r="AL2" s="80" t="s">
        <v>78</v>
      </c>
      <c r="AM2" s="80" t="s">
        <v>83</v>
      </c>
      <c r="AN2" s="80" t="s">
        <v>19</v>
      </c>
      <c r="AO2" s="82" t="s">
        <v>20</v>
      </c>
      <c r="AP2" s="29" t="s">
        <v>18</v>
      </c>
      <c r="AQ2" s="27" t="s">
        <v>21</v>
      </c>
      <c r="AR2" s="27" t="s">
        <v>19</v>
      </c>
      <c r="AS2" s="28" t="s">
        <v>20</v>
      </c>
      <c r="AT2" s="41" t="s">
        <v>18</v>
      </c>
      <c r="AU2" s="42" t="s">
        <v>21</v>
      </c>
      <c r="AV2" s="42" t="s">
        <v>19</v>
      </c>
      <c r="AW2" s="43" t="s">
        <v>20</v>
      </c>
      <c r="AX2" s="29" t="s">
        <v>72</v>
      </c>
      <c r="AY2" s="27" t="s">
        <v>21</v>
      </c>
      <c r="AZ2" s="27" t="s">
        <v>81</v>
      </c>
      <c r="BA2" s="27" t="s">
        <v>19</v>
      </c>
      <c r="BB2" s="28" t="s">
        <v>20</v>
      </c>
    </row>
    <row r="3" spans="1:54" x14ac:dyDescent="0.35">
      <c r="A3" s="2" t="s">
        <v>0</v>
      </c>
      <c r="B3" s="38">
        <v>101.00000034864863</v>
      </c>
      <c r="C3" s="32">
        <v>4.9999892852493281E-5</v>
      </c>
      <c r="D3" s="33">
        <v>0.99900295801997196</v>
      </c>
      <c r="E3" s="33">
        <v>1.0004297914079114</v>
      </c>
      <c r="F3" s="33">
        <v>54.678034172809305</v>
      </c>
      <c r="G3" s="35">
        <v>0.97355397970577673</v>
      </c>
      <c r="H3" s="47">
        <v>97.999864052414651</v>
      </c>
      <c r="I3" s="48">
        <v>3.0875519293437818E-5</v>
      </c>
      <c r="J3" s="49">
        <v>1.1240609544074585</v>
      </c>
      <c r="K3" s="49">
        <v>1.0325445722528561</v>
      </c>
      <c r="L3" s="49">
        <v>111.87522259911734</v>
      </c>
      <c r="M3" s="53">
        <v>0.95492266771369683</v>
      </c>
      <c r="N3" s="38">
        <v>100.70115000433273</v>
      </c>
      <c r="O3" s="32">
        <v>5.1808884099220641E-5</v>
      </c>
      <c r="P3" s="33">
        <v>65.787432057760412</v>
      </c>
      <c r="Q3" s="35">
        <v>0.96818071846171905</v>
      </c>
      <c r="R3" s="47">
        <v>101.10269427308742</v>
      </c>
      <c r="S3" s="48">
        <v>6.2414224599995262E-5</v>
      </c>
      <c r="T3" s="49">
        <v>59.732826568267427</v>
      </c>
      <c r="U3" s="53">
        <v>0.97593214646583282</v>
      </c>
      <c r="V3" s="38">
        <v>101.51070047455509</v>
      </c>
      <c r="W3" s="32">
        <v>4.398589446356088E-3</v>
      </c>
      <c r="X3" s="33">
        <v>25.973640576802971</v>
      </c>
      <c r="Y3" s="35">
        <v>0.98743737889994265</v>
      </c>
      <c r="Z3" s="47">
        <v>101.00136403937692</v>
      </c>
      <c r="AA3" s="48">
        <v>5.0939951513767666E-3</v>
      </c>
      <c r="AB3" s="49">
        <v>18.629669669477746</v>
      </c>
      <c r="AC3" s="53">
        <v>0.99249363897952381</v>
      </c>
      <c r="AD3" s="38">
        <v>101.86266043230015</v>
      </c>
      <c r="AE3" s="32">
        <v>4.486427893531824E-2</v>
      </c>
      <c r="AF3" s="71">
        <v>9.9871309830674999</v>
      </c>
      <c r="AG3" s="32">
        <f>AE3/AF3</f>
        <v>4.4922089248035863E-3</v>
      </c>
      <c r="AH3" s="74">
        <v>29.077114302246699</v>
      </c>
      <c r="AI3" s="58">
        <v>0.98593632769414619</v>
      </c>
      <c r="AJ3" s="47">
        <v>101.40052589570254</v>
      </c>
      <c r="AK3" s="48">
        <v>8.6106284892016136E-3</v>
      </c>
      <c r="AL3" s="48">
        <v>1.6649792025043224</v>
      </c>
      <c r="AM3" s="48">
        <f>AK3/AL3</f>
        <v>5.1716132407241041E-3</v>
      </c>
      <c r="AN3" s="49">
        <v>18.309576900480636</v>
      </c>
      <c r="AO3" s="53">
        <v>0.99262261238199223</v>
      </c>
      <c r="AP3" s="38">
        <v>101.49010928935201</v>
      </c>
      <c r="AQ3" s="32">
        <v>4.587632221526367E-3</v>
      </c>
      <c r="AR3" s="33">
        <v>27.66429373851393</v>
      </c>
      <c r="AS3" s="35">
        <v>0.9866196639161926</v>
      </c>
      <c r="AT3" s="47">
        <v>101.09018704251939</v>
      </c>
      <c r="AU3" s="48">
        <v>5.1586246157271356E-3</v>
      </c>
      <c r="AV3" s="49">
        <v>17.333400876749387</v>
      </c>
      <c r="AW3" s="53">
        <v>0.99301593817808331</v>
      </c>
      <c r="AX3" s="38">
        <v>102.3010878250968</v>
      </c>
      <c r="AY3" s="32">
        <v>5.8034055201556505E-3</v>
      </c>
      <c r="AZ3" s="32">
        <v>8.8282899509187326E-6</v>
      </c>
      <c r="BA3" s="33">
        <v>31.352169498291715</v>
      </c>
      <c r="BB3" s="35">
        <v>0.98483595609528929</v>
      </c>
    </row>
    <row r="4" spans="1:54" x14ac:dyDescent="0.35">
      <c r="A4" s="2" t="s">
        <v>1</v>
      </c>
      <c r="B4" s="39">
        <v>40.002552004145457</v>
      </c>
      <c r="C4" s="30">
        <v>5.9917989721187095E-5</v>
      </c>
      <c r="D4" s="31">
        <v>1.096302611406585</v>
      </c>
      <c r="E4" s="31">
        <v>0.99602235385097804</v>
      </c>
      <c r="F4" s="31">
        <v>1.3181734802079297</v>
      </c>
      <c r="G4" s="36">
        <v>0.99334458267824066</v>
      </c>
      <c r="H4" s="50">
        <v>39.795839692525441</v>
      </c>
      <c r="I4" s="44">
        <v>4.109471385040832E-5</v>
      </c>
      <c r="J4" s="45">
        <v>1.2316831843314358</v>
      </c>
      <c r="K4" s="45">
        <v>1.0699284584120439</v>
      </c>
      <c r="L4" s="45">
        <v>2.1855304971107925</v>
      </c>
      <c r="M4" s="54">
        <v>0.99007792209549894</v>
      </c>
      <c r="N4" s="39">
        <v>37.856582032176171</v>
      </c>
      <c r="O4" s="30">
        <v>6.3852806998087236E-5</v>
      </c>
      <c r="P4" s="31">
        <v>12.134976541183711</v>
      </c>
      <c r="Q4" s="36">
        <v>0.94356973293434765</v>
      </c>
      <c r="R4" s="50">
        <v>38.374506478941953</v>
      </c>
      <c r="S4" s="44">
        <v>8.098563653344848E-5</v>
      </c>
      <c r="T4" s="45">
        <v>5.5407098815082403</v>
      </c>
      <c r="U4" s="54">
        <v>0.97690469081990294</v>
      </c>
      <c r="V4" s="39">
        <v>38.695140000000002</v>
      </c>
      <c r="W4" s="30">
        <v>2.4399999999999999E-3</v>
      </c>
      <c r="X4" s="31">
        <v>5.0055122188409307</v>
      </c>
      <c r="Y4" s="36">
        <v>0.97672328493170479</v>
      </c>
      <c r="Z4" s="50">
        <v>39.165736120183979</v>
      </c>
      <c r="AA4" s="44">
        <v>2.6830764548184381E-3</v>
      </c>
      <c r="AB4" s="45">
        <v>7.1936852951204449</v>
      </c>
      <c r="AC4" s="54">
        <v>0.97001460289599217</v>
      </c>
      <c r="AD4" s="39">
        <v>38.952496631011961</v>
      </c>
      <c r="AE4" s="30">
        <v>6.9647025324335416E-4</v>
      </c>
      <c r="AF4" s="72">
        <v>0.23554172830304784</v>
      </c>
      <c r="AG4" s="30">
        <f t="shared" ref="AG4:AG18" si="0">AE4/AF4</f>
        <v>2.956886910277214E-3</v>
      </c>
      <c r="AH4" s="75">
        <v>4.5070930677405432</v>
      </c>
      <c r="AI4" s="37">
        <v>0.97904104184798535</v>
      </c>
      <c r="AJ4" s="50">
        <v>38.590401048885859</v>
      </c>
      <c r="AK4" s="44">
        <v>1.5797401220684942E-2</v>
      </c>
      <c r="AL4" s="44">
        <v>5.8683250926030386</v>
      </c>
      <c r="AM4" s="44">
        <f t="shared" ref="AM4:AM18" si="1">AK4/AL4</f>
        <v>2.6919778593379904E-3</v>
      </c>
      <c r="AN4" s="45">
        <v>5.1089786259202468</v>
      </c>
      <c r="AO4" s="54">
        <v>0.97870427373323932</v>
      </c>
      <c r="AP4" s="39">
        <v>39.405832077268265</v>
      </c>
      <c r="AQ4" s="30">
        <v>2.6854279566278145E-3</v>
      </c>
      <c r="AR4" s="31">
        <v>1.619618451190167</v>
      </c>
      <c r="AS4" s="36">
        <v>0.99182259629969816</v>
      </c>
      <c r="AT4" s="50">
        <v>38.935622350095009</v>
      </c>
      <c r="AU4" s="44">
        <v>2.8738389671115645E-3</v>
      </c>
      <c r="AV4" s="45">
        <v>2.1288535261705679</v>
      </c>
      <c r="AW4" s="54">
        <v>0.990335229564694</v>
      </c>
      <c r="AX4" s="39">
        <v>38.801430117528263</v>
      </c>
      <c r="AY4" s="30">
        <v>2.8487825357174134E-3</v>
      </c>
      <c r="AZ4" s="30">
        <v>7.2111394500735869E-6</v>
      </c>
      <c r="BA4" s="31">
        <v>4.2906326291791972</v>
      </c>
      <c r="BB4" s="36">
        <v>0.98004762973183579</v>
      </c>
    </row>
    <row r="5" spans="1:54" x14ac:dyDescent="0.35">
      <c r="A5" s="2" t="s">
        <v>2</v>
      </c>
      <c r="B5" s="39">
        <v>97.993603995201994</v>
      </c>
      <c r="C5" s="30">
        <v>3.0050022887152777E-5</v>
      </c>
      <c r="D5" s="31">
        <v>1.1100026557336637</v>
      </c>
      <c r="E5" s="31">
        <v>1.2472173235694184</v>
      </c>
      <c r="F5" s="31">
        <v>347.70636298629796</v>
      </c>
      <c r="G5" s="36">
        <v>0.92456492384488675</v>
      </c>
      <c r="H5" s="50">
        <v>97.99999998904778</v>
      </c>
      <c r="I5" s="44">
        <v>4.9999999963282188E-5</v>
      </c>
      <c r="J5" s="45">
        <v>0.99999810218811036</v>
      </c>
      <c r="K5" s="45">
        <v>0.99999997045862399</v>
      </c>
      <c r="L5" s="45">
        <v>367.40193167792052</v>
      </c>
      <c r="M5" s="54">
        <v>0.93092452628876021</v>
      </c>
      <c r="N5" s="39">
        <v>102.62564632162055</v>
      </c>
      <c r="O5" s="30">
        <v>5.5116440726033954E-5</v>
      </c>
      <c r="P5" s="31">
        <v>200.88975001968504</v>
      </c>
      <c r="Q5" s="36">
        <v>0.95641686432953266</v>
      </c>
      <c r="R5" s="50">
        <v>103.05758614231991</v>
      </c>
      <c r="S5" s="44">
        <v>6.2750698436533239E-5</v>
      </c>
      <c r="T5" s="45">
        <v>168.24768047030969</v>
      </c>
      <c r="U5" s="54">
        <v>0.96836764527549601</v>
      </c>
      <c r="V5" s="39">
        <v>102.05936313618064</v>
      </c>
      <c r="W5" s="30">
        <v>4.3287163118609553E-3</v>
      </c>
      <c r="X5" s="31">
        <v>104.76542644322051</v>
      </c>
      <c r="Y5" s="36">
        <v>0.97727108628587656</v>
      </c>
      <c r="Z5" s="50">
        <v>101.13680668633177</v>
      </c>
      <c r="AA5" s="44">
        <v>4.5837703857312699E-3</v>
      </c>
      <c r="AB5" s="45">
        <v>67.69021428946624</v>
      </c>
      <c r="AC5" s="54">
        <v>0.98727351923190443</v>
      </c>
      <c r="AD5" s="39">
        <v>101.80448043643045</v>
      </c>
      <c r="AE5" s="30">
        <v>3.1186868656096073E-3</v>
      </c>
      <c r="AF5" s="72">
        <v>0.73231709373574894</v>
      </c>
      <c r="AG5" s="30">
        <f t="shared" si="0"/>
        <v>4.2586563829888719E-3</v>
      </c>
      <c r="AH5" s="75">
        <v>102.53717148959079</v>
      </c>
      <c r="AI5" s="36">
        <v>0.97801227320765782</v>
      </c>
      <c r="AJ5" s="50">
        <v>100.7748027646299</v>
      </c>
      <c r="AK5" s="44">
        <v>4.6728712177747801E-2</v>
      </c>
      <c r="AL5" s="44">
        <v>9.993534092170842</v>
      </c>
      <c r="AM5" s="44">
        <f t="shared" si="1"/>
        <v>4.675894608130283E-3</v>
      </c>
      <c r="AN5" s="45">
        <v>59.45531056435015</v>
      </c>
      <c r="AO5" s="54">
        <v>0.98882176878296424</v>
      </c>
      <c r="AP5" s="39">
        <v>101.99965435934661</v>
      </c>
      <c r="AQ5" s="30">
        <v>4.2185921792073549E-3</v>
      </c>
      <c r="AR5" s="31">
        <v>105.5724208457908</v>
      </c>
      <c r="AS5" s="36">
        <v>0.97709600843083877</v>
      </c>
      <c r="AT5" s="50">
        <v>100.69649112796445</v>
      </c>
      <c r="AU5" s="44">
        <v>4.5800968692588564E-3</v>
      </c>
      <c r="AV5" s="45">
        <v>67.803117705249562</v>
      </c>
      <c r="AW5" s="54">
        <v>0.98605099040432032</v>
      </c>
      <c r="AX5" s="39">
        <v>102.90592177429188</v>
      </c>
      <c r="AY5" s="30">
        <v>5.8812612255212905E-3</v>
      </c>
      <c r="AZ5" s="30">
        <v>9.6635881026248456E-6</v>
      </c>
      <c r="BA5" s="31">
        <v>131.28478242166105</v>
      </c>
      <c r="BB5" s="36">
        <v>0.97184773203761909</v>
      </c>
    </row>
    <row r="6" spans="1:54" x14ac:dyDescent="0.35">
      <c r="A6" s="2" t="s">
        <v>38</v>
      </c>
      <c r="B6" s="39">
        <v>67.007075191159657</v>
      </c>
      <c r="C6" s="30">
        <v>4.8359505482111134E-5</v>
      </c>
      <c r="D6" s="31">
        <v>0.99733821566256742</v>
      </c>
      <c r="E6" s="31">
        <v>1.0104819360905302</v>
      </c>
      <c r="F6" s="31">
        <v>1.4016164073553496</v>
      </c>
      <c r="G6" s="36">
        <v>0.97995706562814067</v>
      </c>
      <c r="H6" s="51" t="s">
        <v>67</v>
      </c>
      <c r="I6" s="46" t="s">
        <v>67</v>
      </c>
      <c r="J6" s="46" t="s">
        <v>67</v>
      </c>
      <c r="K6" s="46" t="s">
        <v>67</v>
      </c>
      <c r="L6" s="46" t="s">
        <v>67</v>
      </c>
      <c r="M6" s="55" t="s">
        <v>67</v>
      </c>
      <c r="N6" s="39">
        <v>66.390278847292095</v>
      </c>
      <c r="O6" s="30">
        <v>4.7730595894918843E-5</v>
      </c>
      <c r="P6" s="31">
        <v>1.9541513326733633</v>
      </c>
      <c r="Q6" s="36">
        <v>0.97205588725423386</v>
      </c>
      <c r="R6" s="51" t="s">
        <v>67</v>
      </c>
      <c r="S6" s="46" t="s">
        <v>67</v>
      </c>
      <c r="T6" s="46" t="s">
        <v>67</v>
      </c>
      <c r="U6" s="55" t="s">
        <v>67</v>
      </c>
      <c r="V6" s="39">
        <v>66.680455481321076</v>
      </c>
      <c r="W6" s="30">
        <v>3.0677578654494902E-3</v>
      </c>
      <c r="X6" s="31">
        <v>1.8635382304864512</v>
      </c>
      <c r="Y6" s="36">
        <v>0.97335164296230925</v>
      </c>
      <c r="Z6" s="51" t="s">
        <v>67</v>
      </c>
      <c r="AA6" s="46" t="s">
        <v>67</v>
      </c>
      <c r="AB6" s="46" t="s">
        <v>67</v>
      </c>
      <c r="AC6" s="55" t="s">
        <v>67</v>
      </c>
      <c r="AD6" s="39">
        <v>66.715497039407396</v>
      </c>
      <c r="AE6" s="30">
        <v>2.9648076680038774E-2</v>
      </c>
      <c r="AF6" s="72">
        <v>9.999928734972098</v>
      </c>
      <c r="AG6" s="30">
        <f t="shared" si="0"/>
        <v>2.9648287968645709E-3</v>
      </c>
      <c r="AH6" s="75">
        <v>1.7633791223083728</v>
      </c>
      <c r="AI6" s="37">
        <v>0.97478390532840486</v>
      </c>
      <c r="AJ6" s="51" t="s">
        <v>67</v>
      </c>
      <c r="AK6" s="46" t="s">
        <v>67</v>
      </c>
      <c r="AL6" s="46" t="s">
        <v>67</v>
      </c>
      <c r="AM6" s="46" t="s">
        <v>67</v>
      </c>
      <c r="AN6" s="46" t="s">
        <v>67</v>
      </c>
      <c r="AO6" s="55" t="s">
        <v>67</v>
      </c>
      <c r="AP6" s="39">
        <v>66.948006168057134</v>
      </c>
      <c r="AQ6" s="30">
        <v>3.1061680357640478E-3</v>
      </c>
      <c r="AR6" s="31">
        <v>1.6721324385082335</v>
      </c>
      <c r="AS6" s="36">
        <v>0.97608872117206835</v>
      </c>
      <c r="AT6" s="51" t="s">
        <v>67</v>
      </c>
      <c r="AU6" s="46" t="s">
        <v>67</v>
      </c>
      <c r="AV6" s="46" t="s">
        <v>67</v>
      </c>
      <c r="AW6" s="55" t="s">
        <v>67</v>
      </c>
      <c r="AX6" s="60" t="s">
        <v>67</v>
      </c>
      <c r="AY6" s="59" t="s">
        <v>67</v>
      </c>
      <c r="AZ6" s="59" t="s">
        <v>67</v>
      </c>
      <c r="BA6" s="59" t="s">
        <v>67</v>
      </c>
      <c r="BB6" s="61" t="s">
        <v>67</v>
      </c>
    </row>
    <row r="7" spans="1:54" x14ac:dyDescent="0.35">
      <c r="A7" s="2" t="s">
        <v>40</v>
      </c>
      <c r="B7" s="39">
        <v>67.995435519183957</v>
      </c>
      <c r="C7" s="30">
        <v>5.0704648324699977E-5</v>
      </c>
      <c r="D7" s="31">
        <v>1.0543114794361295</v>
      </c>
      <c r="E7" s="31">
        <v>0.74979643313143896</v>
      </c>
      <c r="F7" s="31">
        <v>9.8556271282086811</v>
      </c>
      <c r="G7" s="36">
        <v>0.99513690133232502</v>
      </c>
      <c r="H7" s="51" t="s">
        <v>67</v>
      </c>
      <c r="I7" s="46" t="s">
        <v>67</v>
      </c>
      <c r="J7" s="46" t="s">
        <v>67</v>
      </c>
      <c r="K7" s="46" t="s">
        <v>67</v>
      </c>
      <c r="L7" s="46" t="s">
        <v>67</v>
      </c>
      <c r="M7" s="55" t="s">
        <v>67</v>
      </c>
      <c r="N7" s="39">
        <v>66.091562820419725</v>
      </c>
      <c r="O7" s="30">
        <v>5.6021022448983134E-5</v>
      </c>
      <c r="P7" s="31">
        <v>19.858093211478803</v>
      </c>
      <c r="Q7" s="36">
        <v>0.99020134737414112</v>
      </c>
      <c r="R7" s="51" t="s">
        <v>67</v>
      </c>
      <c r="S7" s="46" t="s">
        <v>67</v>
      </c>
      <c r="T7" s="46" t="s">
        <v>67</v>
      </c>
      <c r="U7" s="55" t="s">
        <v>67</v>
      </c>
      <c r="V7" s="39">
        <v>66.178370607234825</v>
      </c>
      <c r="W7" s="30">
        <v>2.8373712241432487E-3</v>
      </c>
      <c r="X7" s="31">
        <v>15.084890884413138</v>
      </c>
      <c r="Y7" s="36">
        <v>0.99255660631153098</v>
      </c>
      <c r="Z7" s="51" t="s">
        <v>67</v>
      </c>
      <c r="AA7" s="46" t="s">
        <v>67</v>
      </c>
      <c r="AB7" s="46" t="s">
        <v>67</v>
      </c>
      <c r="AC7" s="55" t="s">
        <v>67</v>
      </c>
      <c r="AD7" s="39">
        <v>66.238647172168598</v>
      </c>
      <c r="AE7" s="30">
        <v>2.8441119057426054E-2</v>
      </c>
      <c r="AF7" s="72">
        <v>9.9969502233411305</v>
      </c>
      <c r="AG7" s="30">
        <f t="shared" si="0"/>
        <v>2.8449795609686059E-3</v>
      </c>
      <c r="AH7" s="75">
        <v>15.304968331812431</v>
      </c>
      <c r="AI7" s="37">
        <v>0.99244801267996297</v>
      </c>
      <c r="AJ7" s="51" t="s">
        <v>67</v>
      </c>
      <c r="AK7" s="46" t="s">
        <v>67</v>
      </c>
      <c r="AL7" s="46" t="s">
        <v>67</v>
      </c>
      <c r="AM7" s="46" t="s">
        <v>67</v>
      </c>
      <c r="AN7" s="46" t="s">
        <v>67</v>
      </c>
      <c r="AO7" s="55" t="s">
        <v>67</v>
      </c>
      <c r="AP7" s="39">
        <v>66.176561166086699</v>
      </c>
      <c r="AQ7" s="30">
        <v>2.9262036865938127E-3</v>
      </c>
      <c r="AR7" s="31">
        <v>15.744446937501936</v>
      </c>
      <c r="AS7" s="36">
        <v>0.99223115912067161</v>
      </c>
      <c r="AT7" s="51" t="s">
        <v>67</v>
      </c>
      <c r="AU7" s="46" t="s">
        <v>67</v>
      </c>
      <c r="AV7" s="46" t="s">
        <v>67</v>
      </c>
      <c r="AW7" s="55" t="s">
        <v>67</v>
      </c>
      <c r="AX7" s="60" t="s">
        <v>67</v>
      </c>
      <c r="AY7" s="59" t="s">
        <v>67</v>
      </c>
      <c r="AZ7" s="59" t="s">
        <v>67</v>
      </c>
      <c r="BA7" s="59" t="s">
        <v>67</v>
      </c>
      <c r="BB7" s="61" t="s">
        <v>67</v>
      </c>
    </row>
    <row r="8" spans="1:54" x14ac:dyDescent="0.35">
      <c r="A8" s="2" t="s">
        <v>42</v>
      </c>
      <c r="B8" s="39">
        <v>71.975000755754351</v>
      </c>
      <c r="C8" s="30">
        <v>4.8574012687187258E-5</v>
      </c>
      <c r="D8" s="31">
        <v>1.1266472337757503</v>
      </c>
      <c r="E8" s="31">
        <v>1.0774377280027796</v>
      </c>
      <c r="F8" s="31">
        <v>143.95380710592238</v>
      </c>
      <c r="G8" s="36">
        <v>0.96435360080183385</v>
      </c>
      <c r="H8" s="51" t="s">
        <v>67</v>
      </c>
      <c r="I8" s="46" t="s">
        <v>67</v>
      </c>
      <c r="J8" s="46" t="s">
        <v>67</v>
      </c>
      <c r="K8" s="46" t="s">
        <v>67</v>
      </c>
      <c r="L8" s="46" t="s">
        <v>67</v>
      </c>
      <c r="M8" s="55" t="s">
        <v>67</v>
      </c>
      <c r="N8" s="39">
        <v>71.269013371249443</v>
      </c>
      <c r="O8" s="30">
        <v>7.4133933245383306E-5</v>
      </c>
      <c r="P8" s="31">
        <v>70.412164923618747</v>
      </c>
      <c r="Q8" s="37">
        <v>0.982564267039999</v>
      </c>
      <c r="R8" s="51" t="s">
        <v>67</v>
      </c>
      <c r="S8" s="46" t="s">
        <v>67</v>
      </c>
      <c r="T8" s="46" t="s">
        <v>67</v>
      </c>
      <c r="U8" s="55" t="s">
        <v>67</v>
      </c>
      <c r="V8" s="39">
        <v>66.061148660644932</v>
      </c>
      <c r="W8" s="30">
        <v>2.9089806014134323E-3</v>
      </c>
      <c r="X8" s="31">
        <v>8.670906213119622</v>
      </c>
      <c r="Y8" s="36">
        <v>0.99785287662412925</v>
      </c>
      <c r="Z8" s="51" t="s">
        <v>67</v>
      </c>
      <c r="AA8" s="46" t="s">
        <v>67</v>
      </c>
      <c r="AB8" s="46" t="s">
        <v>67</v>
      </c>
      <c r="AC8" s="55" t="s">
        <v>67</v>
      </c>
      <c r="AD8" s="39">
        <v>66.180454705048476</v>
      </c>
      <c r="AE8" s="30">
        <v>2.0251569691754494E-2</v>
      </c>
      <c r="AF8" s="72">
        <v>7.2713303175933799</v>
      </c>
      <c r="AG8" s="30">
        <f t="shared" si="0"/>
        <v>2.7851258032872911E-3</v>
      </c>
      <c r="AH8" s="75">
        <v>6.8910740616019321</v>
      </c>
      <c r="AI8" s="37">
        <v>0.99829360555415358</v>
      </c>
      <c r="AJ8" s="51" t="s">
        <v>67</v>
      </c>
      <c r="AK8" s="46" t="s">
        <v>67</v>
      </c>
      <c r="AL8" s="46" t="s">
        <v>67</v>
      </c>
      <c r="AM8" s="46" t="s">
        <v>67</v>
      </c>
      <c r="AN8" s="46" t="s">
        <v>67</v>
      </c>
      <c r="AO8" s="55" t="s">
        <v>67</v>
      </c>
      <c r="AP8" s="39">
        <v>67.641684719537139</v>
      </c>
      <c r="AQ8" s="30">
        <v>3.0195627002644709E-3</v>
      </c>
      <c r="AR8" s="31">
        <v>5.5419175184621823</v>
      </c>
      <c r="AS8" s="36">
        <v>0.9986276889221759</v>
      </c>
      <c r="AT8" s="51" t="s">
        <v>67</v>
      </c>
      <c r="AU8" s="46" t="s">
        <v>67</v>
      </c>
      <c r="AV8" s="46" t="s">
        <v>67</v>
      </c>
      <c r="AW8" s="55" t="s">
        <v>67</v>
      </c>
      <c r="AX8" s="60" t="s">
        <v>67</v>
      </c>
      <c r="AY8" s="59" t="s">
        <v>67</v>
      </c>
      <c r="AZ8" s="59" t="s">
        <v>67</v>
      </c>
      <c r="BA8" s="59" t="s">
        <v>67</v>
      </c>
      <c r="BB8" s="61" t="s">
        <v>67</v>
      </c>
    </row>
    <row r="9" spans="1:54" x14ac:dyDescent="0.35">
      <c r="A9" s="2" t="s">
        <v>3</v>
      </c>
      <c r="B9" s="39">
        <v>26.911790944458438</v>
      </c>
      <c r="C9" s="30">
        <v>5.5016635402543938E-5</v>
      </c>
      <c r="D9" s="31">
        <v>1.1447726236237317</v>
      </c>
      <c r="E9" s="31">
        <v>1.3630914231984441</v>
      </c>
      <c r="F9" s="31">
        <v>25.923560260361903</v>
      </c>
      <c r="G9" s="36">
        <v>0.96306606751244317</v>
      </c>
      <c r="H9" s="50">
        <v>28.740971454812868</v>
      </c>
      <c r="I9" s="44">
        <v>9.3052647121745908E-5</v>
      </c>
      <c r="J9" s="45">
        <v>1.1569095500898106</v>
      </c>
      <c r="K9" s="45">
        <v>0.11146961442398919</v>
      </c>
      <c r="L9" s="45">
        <v>20.725241480077059</v>
      </c>
      <c r="M9" s="54">
        <v>0.97256197818430878</v>
      </c>
      <c r="N9" s="39">
        <v>29.945292387472737</v>
      </c>
      <c r="O9" s="30">
        <v>1.2511627081162233E-4</v>
      </c>
      <c r="P9" s="31">
        <v>24.69476427714709</v>
      </c>
      <c r="Q9" s="36">
        <v>0.96481676330535215</v>
      </c>
      <c r="R9" s="50">
        <v>28.221973572007339</v>
      </c>
      <c r="S9" s="44">
        <v>1.096614311189997E-4</v>
      </c>
      <c r="T9" s="45">
        <v>14.828486808730217</v>
      </c>
      <c r="U9" s="54">
        <v>0.98036865602059475</v>
      </c>
      <c r="V9" s="39">
        <v>26.912420000000001</v>
      </c>
      <c r="W9" s="30">
        <v>1.6833393379605066E-3</v>
      </c>
      <c r="X9" s="31">
        <v>5.6793770061253852</v>
      </c>
      <c r="Y9" s="36">
        <v>0.99190845220298107</v>
      </c>
      <c r="Z9" s="50">
        <v>26.852027839152587</v>
      </c>
      <c r="AA9" s="44">
        <v>1.7155735776495195E-3</v>
      </c>
      <c r="AB9" s="45">
        <v>8.2143678601550221</v>
      </c>
      <c r="AC9" s="54">
        <v>0.98912504808372403</v>
      </c>
      <c r="AD9" s="39">
        <v>26.616698296075068</v>
      </c>
      <c r="AE9" s="30">
        <v>6.149440109434924E-4</v>
      </c>
      <c r="AF9" s="72">
        <v>0.3090085397035377</v>
      </c>
      <c r="AG9" s="30">
        <f t="shared" si="0"/>
        <v>1.9900550694601149E-3</v>
      </c>
      <c r="AH9" s="75">
        <v>4.1782895879433832</v>
      </c>
      <c r="AI9" s="37">
        <v>0.99404708828553445</v>
      </c>
      <c r="AJ9" s="50">
        <v>26.912041219294363</v>
      </c>
      <c r="AK9" s="44">
        <v>1.1127493998209876E-2</v>
      </c>
      <c r="AL9" s="44">
        <v>6.3435629543837626</v>
      </c>
      <c r="AM9" s="44">
        <f t="shared" si="1"/>
        <v>1.7541394446980534E-3</v>
      </c>
      <c r="AN9" s="45">
        <v>8.0013877019651289</v>
      </c>
      <c r="AO9" s="54">
        <v>0.98940701122670316</v>
      </c>
      <c r="AP9" s="39">
        <v>27.658479546418214</v>
      </c>
      <c r="AQ9" s="30">
        <v>1.8590340909727589E-3</v>
      </c>
      <c r="AR9" s="31">
        <v>6.320826017547942</v>
      </c>
      <c r="AS9" s="36">
        <v>0.99099456405474262</v>
      </c>
      <c r="AT9" s="50">
        <v>26.666763938369328</v>
      </c>
      <c r="AU9" s="44">
        <v>1.8279241942117249E-3</v>
      </c>
      <c r="AV9" s="45">
        <v>7.0032723371191663</v>
      </c>
      <c r="AW9" s="54">
        <v>0.98935919332479305</v>
      </c>
      <c r="AX9" s="39">
        <v>25.347710330058348</v>
      </c>
      <c r="AY9" s="30">
        <v>2.0415384447421882E-3</v>
      </c>
      <c r="AZ9" s="30">
        <v>8.9576272647698778E-6</v>
      </c>
      <c r="BA9" s="31">
        <v>16.238534486114887</v>
      </c>
      <c r="BB9" s="36">
        <v>0.97686456141118572</v>
      </c>
    </row>
    <row r="10" spans="1:54" ht="15" thickBot="1" x14ac:dyDescent="0.4">
      <c r="A10" s="2" t="s">
        <v>4</v>
      </c>
      <c r="B10" s="62">
        <v>111.50185083647216</v>
      </c>
      <c r="C10" s="63">
        <v>5.7116816505911189E-5</v>
      </c>
      <c r="D10" s="64">
        <v>1.0007210485757967</v>
      </c>
      <c r="E10" s="64">
        <v>1.1353132523334291</v>
      </c>
      <c r="F10" s="64">
        <v>36.019310602078527</v>
      </c>
      <c r="G10" s="65">
        <v>0.98878647763275029</v>
      </c>
      <c r="H10" s="66">
        <v>118.8922097048091</v>
      </c>
      <c r="I10" s="67">
        <v>3.2548155294614544E-5</v>
      </c>
      <c r="J10" s="68">
        <v>1.1967219035111269</v>
      </c>
      <c r="K10" s="68">
        <v>4.9071833885581208E-2</v>
      </c>
      <c r="L10" s="68">
        <v>63.753051048065387</v>
      </c>
      <c r="M10" s="69">
        <v>0.98400193930722424</v>
      </c>
      <c r="N10" s="62">
        <v>119.95998399474422</v>
      </c>
      <c r="O10" s="63">
        <v>7.0777209093270303E-5</v>
      </c>
      <c r="P10" s="64">
        <v>97.60886828427094</v>
      </c>
      <c r="Q10" s="65">
        <v>0.96961243262428132</v>
      </c>
      <c r="R10" s="66">
        <v>113.08086172524536</v>
      </c>
      <c r="S10" s="67">
        <v>7.7241108272220441E-5</v>
      </c>
      <c r="T10" s="68">
        <v>46.683540252891859</v>
      </c>
      <c r="U10" s="69">
        <v>0.98828532755622422</v>
      </c>
      <c r="V10" s="62">
        <v>112.66234544043354</v>
      </c>
      <c r="W10" s="63">
        <v>5.6386537137396399E-3</v>
      </c>
      <c r="X10" s="64">
        <v>10.670929268177987</v>
      </c>
      <c r="Y10" s="65">
        <v>0.99667792908781694</v>
      </c>
      <c r="Z10" s="66">
        <v>112.91794865424245</v>
      </c>
      <c r="AA10" s="67">
        <v>6.216066929240531E-3</v>
      </c>
      <c r="AB10" s="68">
        <v>11.618849356541384</v>
      </c>
      <c r="AC10" s="69">
        <v>0.99708438962323498</v>
      </c>
      <c r="AD10" s="62">
        <v>113.3457840739506</v>
      </c>
      <c r="AE10" s="63">
        <v>5.0052728027912191E-2</v>
      </c>
      <c r="AF10" s="73">
        <v>8.9678569502260661</v>
      </c>
      <c r="AG10" s="63">
        <f t="shared" si="0"/>
        <v>5.5813477295320194E-3</v>
      </c>
      <c r="AH10" s="76">
        <v>8.8333760568194712</v>
      </c>
      <c r="AI10" s="70">
        <v>0.99724999567354966</v>
      </c>
      <c r="AJ10" s="66">
        <v>113.45113844650315</v>
      </c>
      <c r="AK10" s="67">
        <v>4.0974825533786723E-2</v>
      </c>
      <c r="AL10" s="67">
        <v>6.470064342934891</v>
      </c>
      <c r="AM10" s="67">
        <f t="shared" si="1"/>
        <v>6.3329857883917271E-3</v>
      </c>
      <c r="AN10" s="68">
        <v>14.497999262021576</v>
      </c>
      <c r="AO10" s="69">
        <v>0.99636190161404559</v>
      </c>
      <c r="AP10" s="62">
        <v>112.31890309684661</v>
      </c>
      <c r="AQ10" s="63">
        <v>5.5646206222088211E-3</v>
      </c>
      <c r="AR10" s="64">
        <v>10.647944671547414</v>
      </c>
      <c r="AS10" s="65">
        <v>0.99668508464643568</v>
      </c>
      <c r="AT10" s="66">
        <v>112.13384057822273</v>
      </c>
      <c r="AU10" s="67">
        <v>6.2435573448793597E-3</v>
      </c>
      <c r="AV10" s="68">
        <v>13.958045099141948</v>
      </c>
      <c r="AW10" s="69">
        <v>0.99649739661117986</v>
      </c>
      <c r="AX10" s="62">
        <v>113.71152238401329</v>
      </c>
      <c r="AY10" s="63">
        <v>7.3423870862054149E-3</v>
      </c>
      <c r="AZ10" s="63">
        <v>1.1412724251235211E-5</v>
      </c>
      <c r="BA10" s="64">
        <v>8.0448301044981747</v>
      </c>
      <c r="BB10" s="65">
        <v>0.99749548559343304</v>
      </c>
    </row>
    <row r="11" spans="1:54" x14ac:dyDescent="0.35">
      <c r="A11" s="2" t="s">
        <v>6</v>
      </c>
      <c r="B11" s="21">
        <v>13.892541549566461</v>
      </c>
      <c r="C11" s="18">
        <v>5.4127404641428544E-5</v>
      </c>
      <c r="D11" s="19">
        <v>0.88234961144694435</v>
      </c>
      <c r="E11" s="19">
        <v>1.2470039562069348</v>
      </c>
      <c r="F11" s="19">
        <v>0.40645396435126163</v>
      </c>
      <c r="G11" s="25">
        <v>0.99389662536683587</v>
      </c>
      <c r="H11" s="22">
        <v>13.441836255342206</v>
      </c>
      <c r="I11" s="23">
        <v>3.6059984849693525E-5</v>
      </c>
      <c r="J11" s="24">
        <v>1.0442830584027467</v>
      </c>
      <c r="K11" s="24">
        <v>1.308941865559802</v>
      </c>
      <c r="L11" s="24">
        <v>1.0147897166734641</v>
      </c>
      <c r="M11" s="26">
        <v>0.98607270647268208</v>
      </c>
      <c r="N11" s="21">
        <v>13.956228923426618</v>
      </c>
      <c r="O11" s="18">
        <v>5.7674330015737343E-5</v>
      </c>
      <c r="P11" s="19">
        <v>0.47845059118334243</v>
      </c>
      <c r="Q11" s="25">
        <v>0.99281551305296867</v>
      </c>
      <c r="R11" s="22">
        <v>12.674402208884107</v>
      </c>
      <c r="S11" s="23">
        <v>5.6703856317507851E-5</v>
      </c>
      <c r="T11" s="24">
        <v>2.1928920078302734</v>
      </c>
      <c r="U11" s="26">
        <v>0.96990405976237426</v>
      </c>
      <c r="V11" s="21">
        <v>13.405810929166245</v>
      </c>
      <c r="W11" s="18">
        <v>5.0995578327446621E-4</v>
      </c>
      <c r="X11" s="19">
        <v>0.33372834269227458</v>
      </c>
      <c r="Y11" s="25">
        <v>0.99498868437805266</v>
      </c>
      <c r="Z11" s="22">
        <v>13.106464510728111</v>
      </c>
      <c r="AA11" s="23">
        <v>5.335062122588045E-4</v>
      </c>
      <c r="AB11" s="24">
        <v>1.062564250837243</v>
      </c>
      <c r="AC11" s="26">
        <v>0.98541703372640033</v>
      </c>
      <c r="AD11" s="38">
        <v>13.427577793354038</v>
      </c>
      <c r="AE11" s="32">
        <v>4.8440057433822028E-4</v>
      </c>
      <c r="AF11" s="71">
        <v>0.8271542907963888</v>
      </c>
      <c r="AG11" s="32">
        <f t="shared" si="0"/>
        <v>5.8562299649299614E-4</v>
      </c>
      <c r="AH11" s="74">
        <v>0.15754692325509695</v>
      </c>
      <c r="AI11" s="35">
        <v>0.99763425140541329</v>
      </c>
      <c r="AJ11" s="47">
        <v>13.612120957631628</v>
      </c>
      <c r="AK11" s="48">
        <v>1.0000061376859354E-4</v>
      </c>
      <c r="AL11" s="48">
        <v>6.0150309624228925E-2</v>
      </c>
      <c r="AM11" s="48">
        <f t="shared" si="1"/>
        <v>1.6625120368177235E-3</v>
      </c>
      <c r="AN11" s="49">
        <v>9.1559721563276037E-3</v>
      </c>
      <c r="AO11" s="53">
        <v>0.99987434055582758</v>
      </c>
      <c r="AP11" s="21">
        <v>13.427161148076095</v>
      </c>
      <c r="AQ11" s="18">
        <v>5.7133036250379466E-4</v>
      </c>
      <c r="AR11" s="19">
        <v>0.17076121368700356</v>
      </c>
      <c r="AS11" s="25">
        <v>0.99743582360770167</v>
      </c>
      <c r="AT11" s="22">
        <v>13.193809832540682</v>
      </c>
      <c r="AU11" s="23">
        <v>6.0439825541895359E-4</v>
      </c>
      <c r="AV11" s="24">
        <v>0.72643449333642451</v>
      </c>
      <c r="AW11" s="26">
        <v>0.99003018433195222</v>
      </c>
      <c r="AX11" s="21">
        <v>13.70401895640949</v>
      </c>
      <c r="AY11" s="18">
        <v>7.6086554400639657E-4</v>
      </c>
      <c r="AZ11" s="18">
        <v>7.0396932771530883E-6</v>
      </c>
      <c r="BA11" s="19">
        <v>1.9606259222824784E-2</v>
      </c>
      <c r="BB11" s="20">
        <v>0.99970558942540311</v>
      </c>
    </row>
    <row r="12" spans="1:54" x14ac:dyDescent="0.35">
      <c r="A12" s="2" t="s">
        <v>11</v>
      </c>
      <c r="B12" s="39">
        <v>27.090455783490761</v>
      </c>
      <c r="C12" s="30">
        <v>3.9297048828910587E-5</v>
      </c>
      <c r="D12" s="31">
        <v>1.0075256628504268</v>
      </c>
      <c r="E12" s="31">
        <v>1.0035100003753206</v>
      </c>
      <c r="F12" s="31">
        <v>2.087509787562607</v>
      </c>
      <c r="G12" s="36">
        <v>0.99529111617863664</v>
      </c>
      <c r="H12" s="50">
        <v>26.987117162770893</v>
      </c>
      <c r="I12" s="44">
        <v>4.5527705515903111E-5</v>
      </c>
      <c r="J12" s="45">
        <v>1.0107561799585092</v>
      </c>
      <c r="K12" s="45">
        <v>0.87582075836518936</v>
      </c>
      <c r="L12" s="45">
        <v>3.9047369241758743</v>
      </c>
      <c r="M12" s="54">
        <v>0.99172388860779015</v>
      </c>
      <c r="N12" s="39">
        <v>27.544981764828908</v>
      </c>
      <c r="O12" s="30">
        <v>4.1219297931074816E-5</v>
      </c>
      <c r="P12" s="31">
        <v>0.82729119420238373</v>
      </c>
      <c r="Q12" s="36">
        <v>0.99813384438092401</v>
      </c>
      <c r="R12" s="50">
        <v>26.65804982932276</v>
      </c>
      <c r="S12" s="44">
        <v>3.879967755108767E-5</v>
      </c>
      <c r="T12" s="45">
        <v>5.1168331803527805</v>
      </c>
      <c r="U12" s="54">
        <v>0.98915484392462805</v>
      </c>
      <c r="V12" s="39">
        <v>26.967251492554603</v>
      </c>
      <c r="W12" s="30">
        <v>7.4973609476042117E-4</v>
      </c>
      <c r="X12" s="31">
        <v>7.176270891727194</v>
      </c>
      <c r="Y12" s="36">
        <v>0.98381218325245268</v>
      </c>
      <c r="Z12" s="50">
        <v>25.821513208488724</v>
      </c>
      <c r="AA12" s="44">
        <v>7.2451181898033445E-4</v>
      </c>
      <c r="AB12" s="45">
        <v>9.3183614868637452</v>
      </c>
      <c r="AC12" s="54">
        <v>0.98024968156479841</v>
      </c>
      <c r="AD12" s="39">
        <v>27.452149594251846</v>
      </c>
      <c r="AE12" s="30">
        <v>7.3435683608199746E-3</v>
      </c>
      <c r="AF12" s="72">
        <v>9.2005832863538899</v>
      </c>
      <c r="AG12" s="30">
        <f t="shared" si="0"/>
        <v>7.98163348155524E-4</v>
      </c>
      <c r="AH12" s="75">
        <v>8.3452728384289809</v>
      </c>
      <c r="AI12" s="36">
        <v>0.98117521628503368</v>
      </c>
      <c r="AJ12" s="50">
        <v>26.330849638418048</v>
      </c>
      <c r="AK12" s="44">
        <v>1.7643042450317124E-4</v>
      </c>
      <c r="AL12" s="44">
        <v>0.1733538916429346</v>
      </c>
      <c r="AM12" s="44">
        <f t="shared" si="1"/>
        <v>1.0177471231310659E-3</v>
      </c>
      <c r="AN12" s="45">
        <v>3.6132633706419459</v>
      </c>
      <c r="AO12" s="54">
        <v>0.99234166840801041</v>
      </c>
      <c r="AP12" s="39">
        <v>26.500903642467346</v>
      </c>
      <c r="AQ12" s="30">
        <v>7.3541446595892194E-4</v>
      </c>
      <c r="AR12" s="31">
        <v>6.3474183648069067</v>
      </c>
      <c r="AS12" s="36">
        <v>0.98568186083555431</v>
      </c>
      <c r="AT12" s="50">
        <v>25.866868749999998</v>
      </c>
      <c r="AU12" s="44">
        <v>7.7312273132890217E-4</v>
      </c>
      <c r="AV12" s="45">
        <v>8.4033651467430879</v>
      </c>
      <c r="AW12" s="54">
        <v>0.9821890213414215</v>
      </c>
      <c r="AX12" s="39">
        <v>26.945635014541352</v>
      </c>
      <c r="AY12" s="30">
        <v>9.3054732655205763E-4</v>
      </c>
      <c r="AZ12" s="30">
        <v>3.1906902704064774E-6</v>
      </c>
      <c r="BA12" s="31">
        <v>2.660537835164599</v>
      </c>
      <c r="BB12" s="37">
        <v>0.99399851265715033</v>
      </c>
    </row>
    <row r="13" spans="1:54" x14ac:dyDescent="0.35">
      <c r="A13" s="2" t="s">
        <v>7</v>
      </c>
      <c r="B13" s="39">
        <v>32.830907220107321</v>
      </c>
      <c r="C13" s="30">
        <v>3.372025975078041E-5</v>
      </c>
      <c r="D13" s="31">
        <v>1.1213919103520682</v>
      </c>
      <c r="E13" s="31">
        <v>0.85361994054802071</v>
      </c>
      <c r="F13" s="31">
        <v>1.2280572673786163</v>
      </c>
      <c r="G13" s="36">
        <v>0.99751674898764031</v>
      </c>
      <c r="H13" s="50">
        <v>32.523260257654727</v>
      </c>
      <c r="I13" s="44">
        <v>2.1335324435434188E-5</v>
      </c>
      <c r="J13" s="45">
        <v>1.2095072613791971</v>
      </c>
      <c r="K13" s="45">
        <v>1.1340207606653596</v>
      </c>
      <c r="L13" s="45">
        <v>1.2825942472603129</v>
      </c>
      <c r="M13" s="54">
        <v>0.99763249490697592</v>
      </c>
      <c r="N13" s="39">
        <v>32.54560143810447</v>
      </c>
      <c r="O13" s="30">
        <v>4.2059448563366171E-5</v>
      </c>
      <c r="P13" s="31">
        <v>0.81599855210405359</v>
      </c>
      <c r="Q13" s="36">
        <v>0.99834997171188788</v>
      </c>
      <c r="R13" s="50">
        <v>33.587916947277819</v>
      </c>
      <c r="S13" s="44">
        <v>5.0320203487956668E-5</v>
      </c>
      <c r="T13" s="45">
        <v>5.316179295034611</v>
      </c>
      <c r="U13" s="54">
        <v>0.99018701231249995</v>
      </c>
      <c r="V13" s="39">
        <v>30.87650138832133</v>
      </c>
      <c r="W13" s="30">
        <v>8.2641347878289388E-4</v>
      </c>
      <c r="X13" s="31">
        <v>11.11005842511813</v>
      </c>
      <c r="Y13" s="36">
        <v>0.97753438331875153</v>
      </c>
      <c r="Z13" s="50">
        <v>30.000000287499624</v>
      </c>
      <c r="AA13" s="44">
        <v>8.581055527085307E-4</v>
      </c>
      <c r="AB13" s="45">
        <v>18.55991794494917</v>
      </c>
      <c r="AC13" s="54">
        <v>0.96574076302413125</v>
      </c>
      <c r="AD13" s="39">
        <v>30.853967734468736</v>
      </c>
      <c r="AE13" s="30">
        <v>5.3682601678146273E-4</v>
      </c>
      <c r="AF13" s="72">
        <v>0.60124252844415904</v>
      </c>
      <c r="AG13" s="30">
        <f t="shared" si="0"/>
        <v>8.9286101928054309E-4</v>
      </c>
      <c r="AH13" s="75">
        <v>9.4429983464783653</v>
      </c>
      <c r="AI13" s="36">
        <v>0.98090534063313073</v>
      </c>
      <c r="AJ13" s="50">
        <v>31.315589938341109</v>
      </c>
      <c r="AK13" s="44">
        <v>1.0000006363278432E-4</v>
      </c>
      <c r="AL13" s="44">
        <v>5.7480818264156554E-2</v>
      </c>
      <c r="AM13" s="44">
        <f t="shared" si="1"/>
        <v>1.7397119013377301E-3</v>
      </c>
      <c r="AN13" s="45">
        <v>5.9433357497357946</v>
      </c>
      <c r="AO13" s="54">
        <v>0.98902936163396338</v>
      </c>
      <c r="AP13" s="39">
        <v>31.026240601331949</v>
      </c>
      <c r="AQ13" s="30">
        <v>8.7608922751994812E-4</v>
      </c>
      <c r="AR13" s="31">
        <v>10.475130343648038</v>
      </c>
      <c r="AS13" s="36">
        <v>0.97881826953722706</v>
      </c>
      <c r="AT13" s="50">
        <v>30.018544723443064</v>
      </c>
      <c r="AU13" s="44">
        <v>9.1606907100369353E-4</v>
      </c>
      <c r="AV13" s="45">
        <v>16.359259607408305</v>
      </c>
      <c r="AW13" s="54">
        <v>0.96980289711935508</v>
      </c>
      <c r="AX13" s="39">
        <v>31.636044757272696</v>
      </c>
      <c r="AY13" s="30">
        <v>1.1760579696599128E-3</v>
      </c>
      <c r="AZ13" s="30">
        <v>5.0160184577119171E-6</v>
      </c>
      <c r="BA13" s="31">
        <v>4.2468150185558207</v>
      </c>
      <c r="BB13" s="37">
        <v>0.99141252775886912</v>
      </c>
    </row>
    <row r="14" spans="1:54" x14ac:dyDescent="0.35">
      <c r="A14" s="2" t="s">
        <v>10</v>
      </c>
      <c r="B14" s="39">
        <v>33.82373011972178</v>
      </c>
      <c r="C14" s="30">
        <v>5.4296368899239569E-5</v>
      </c>
      <c r="D14" s="31">
        <v>0.74689916267742007</v>
      </c>
      <c r="E14" s="31">
        <v>1.1648615126177295</v>
      </c>
      <c r="F14" s="31">
        <v>0.2376922834383334</v>
      </c>
      <c r="G14" s="36">
        <v>0.99942305273288723</v>
      </c>
      <c r="H14" s="50">
        <v>33.226715508590303</v>
      </c>
      <c r="I14" s="44">
        <v>5.3741991428087385E-5</v>
      </c>
      <c r="J14" s="45">
        <v>1.0006912894796514</v>
      </c>
      <c r="K14" s="45">
        <v>0.72978559260924436</v>
      </c>
      <c r="L14" s="45">
        <v>0.94446247249380288</v>
      </c>
      <c r="M14" s="54">
        <v>0.99799671033995541</v>
      </c>
      <c r="N14" s="39">
        <v>34.092898823423802</v>
      </c>
      <c r="O14" s="30">
        <v>3.0717102366148833E-5</v>
      </c>
      <c r="P14" s="31">
        <v>0.90366270305541874</v>
      </c>
      <c r="Q14" s="36">
        <v>0.99780655173412536</v>
      </c>
      <c r="R14" s="50">
        <v>33.152933620137603</v>
      </c>
      <c r="S14" s="44">
        <v>3.6558101409220049E-5</v>
      </c>
      <c r="T14" s="45">
        <v>0.99362243085441027</v>
      </c>
      <c r="U14" s="54">
        <v>0.99789243765666702</v>
      </c>
      <c r="V14" s="39">
        <v>32.731652210985033</v>
      </c>
      <c r="W14" s="30">
        <v>6.8213877593803842E-4</v>
      </c>
      <c r="X14" s="31">
        <v>3.5736780955004424</v>
      </c>
      <c r="Y14" s="36">
        <v>0.99132565945804119</v>
      </c>
      <c r="Z14" s="50">
        <v>31.286758428023404</v>
      </c>
      <c r="AA14" s="44">
        <v>7.238998543280359E-4</v>
      </c>
      <c r="AB14" s="45">
        <v>11.502042729133011</v>
      </c>
      <c r="AC14" s="54">
        <v>0.97560313518035002</v>
      </c>
      <c r="AD14" s="39">
        <v>33.223358500977177</v>
      </c>
      <c r="AE14" s="30">
        <v>1.0000000112558884E-4</v>
      </c>
      <c r="AF14" s="72">
        <v>9.8697882238437132E-2</v>
      </c>
      <c r="AG14" s="30">
        <f t="shared" si="0"/>
        <v>1.013192976967895E-3</v>
      </c>
      <c r="AH14" s="75">
        <v>1.0992575546351051</v>
      </c>
      <c r="AI14" s="36">
        <v>0.9973317869944045</v>
      </c>
      <c r="AJ14" s="50">
        <v>32.100902804847124</v>
      </c>
      <c r="AK14" s="44">
        <v>1.0000000041518971E-4</v>
      </c>
      <c r="AL14" s="44">
        <v>8.3304604955521902E-2</v>
      </c>
      <c r="AM14" s="44">
        <f t="shared" si="1"/>
        <v>1.2004138362889042E-3</v>
      </c>
      <c r="AN14" s="45">
        <v>5.0040271359131623</v>
      </c>
      <c r="AO14" s="54">
        <v>0.98938600938427079</v>
      </c>
      <c r="AP14" s="39">
        <v>32.807239739347601</v>
      </c>
      <c r="AQ14" s="30">
        <v>7.1626521674456869E-4</v>
      </c>
      <c r="AR14" s="31">
        <v>3.0797050478654215</v>
      </c>
      <c r="AS14" s="36">
        <v>0.9925246735603831</v>
      </c>
      <c r="AT14" s="50">
        <v>31.400468089659782</v>
      </c>
      <c r="AU14" s="44">
        <v>7.660577796175192E-4</v>
      </c>
      <c r="AV14" s="45">
        <v>10.336138640343911</v>
      </c>
      <c r="AW14" s="54">
        <v>0.97807612238068609</v>
      </c>
      <c r="AX14" s="39">
        <v>33.483758429631564</v>
      </c>
      <c r="AY14" s="30">
        <v>1.0706102975858922E-3</v>
      </c>
      <c r="AZ14" s="30">
        <v>6.2783930769611628E-6</v>
      </c>
      <c r="BA14" s="31">
        <v>0.2956698982023433</v>
      </c>
      <c r="BB14" s="37">
        <v>0.99928232445215404</v>
      </c>
    </row>
    <row r="15" spans="1:54" x14ac:dyDescent="0.35">
      <c r="A15" s="2" t="s">
        <v>14</v>
      </c>
      <c r="B15" s="39">
        <v>33.573898258403325</v>
      </c>
      <c r="C15" s="30">
        <v>3.306974151094785E-5</v>
      </c>
      <c r="D15" s="31">
        <v>1.0025213956087833</v>
      </c>
      <c r="E15" s="31">
        <v>0.99986741930641987</v>
      </c>
      <c r="F15" s="31">
        <v>2.5219942592584816</v>
      </c>
      <c r="G15" s="36">
        <v>0.99605680014235498</v>
      </c>
      <c r="H15" s="50">
        <v>34.891031755298549</v>
      </c>
      <c r="I15" s="44">
        <v>3.4031359796153618E-5</v>
      </c>
      <c r="J15" s="45">
        <v>1.0693151042920563</v>
      </c>
      <c r="K15" s="45">
        <v>0.94495892139178972</v>
      </c>
      <c r="L15" s="45">
        <v>1.3787929558449215</v>
      </c>
      <c r="M15" s="54">
        <v>0.99806904983351241</v>
      </c>
      <c r="N15" s="39">
        <v>34.615356247234075</v>
      </c>
      <c r="O15" s="30">
        <v>3.5192120890118084E-5</v>
      </c>
      <c r="P15" s="31">
        <v>0.65011459494380908</v>
      </c>
      <c r="Q15" s="36">
        <v>0.99898352989154338</v>
      </c>
      <c r="R15" s="50">
        <v>34.608622401670509</v>
      </c>
      <c r="S15" s="44">
        <v>3.8190290373202065E-5</v>
      </c>
      <c r="T15" s="45">
        <v>1.1711285891988954</v>
      </c>
      <c r="U15" s="54">
        <v>0.99835987634350354</v>
      </c>
      <c r="V15" s="39">
        <v>31.840175958878714</v>
      </c>
      <c r="W15" s="30">
        <v>6.5629990669573092E-4</v>
      </c>
      <c r="X15" s="31">
        <v>20.517023205285881</v>
      </c>
      <c r="Y15" s="36">
        <v>0.96792113118997747</v>
      </c>
      <c r="Z15" s="50">
        <v>31.333910822898783</v>
      </c>
      <c r="AA15" s="44">
        <v>6.4518474586362166E-4</v>
      </c>
      <c r="AB15" s="45">
        <v>32.746895343482628</v>
      </c>
      <c r="AC15" s="54">
        <v>0.95413914558571222</v>
      </c>
      <c r="AD15" s="39">
        <v>32.856187799260098</v>
      </c>
      <c r="AE15" s="30">
        <v>5.6943488006859424E-4</v>
      </c>
      <c r="AF15" s="72">
        <v>0.75558760774744038</v>
      </c>
      <c r="AG15" s="30">
        <f t="shared" si="0"/>
        <v>7.5363184127145077E-4</v>
      </c>
      <c r="AH15" s="75">
        <v>17.857176234858169</v>
      </c>
      <c r="AI15" s="36">
        <v>0.97207986714135575</v>
      </c>
      <c r="AJ15" s="50">
        <v>32.892751438358616</v>
      </c>
      <c r="AK15" s="44">
        <v>1.0660167259301552E-4</v>
      </c>
      <c r="AL15" s="44">
        <v>8.9072122537269899E-2</v>
      </c>
      <c r="AM15" s="44">
        <f t="shared" si="1"/>
        <v>1.1968017552114675E-3</v>
      </c>
      <c r="AN15" s="45">
        <v>8.3406613353482371</v>
      </c>
      <c r="AO15" s="54">
        <v>0.98831920244019678</v>
      </c>
      <c r="AP15" s="39">
        <v>31.835690554297788</v>
      </c>
      <c r="AQ15" s="30">
        <v>7.0239464186065486E-4</v>
      </c>
      <c r="AR15" s="31">
        <v>18.644286890131216</v>
      </c>
      <c r="AS15" s="36">
        <v>0.97084920033375721</v>
      </c>
      <c r="AT15" s="50">
        <v>32.117668342921718</v>
      </c>
      <c r="AU15" s="44">
        <v>7.5580331236828758E-4</v>
      </c>
      <c r="AV15" s="45">
        <v>20.242613717560662</v>
      </c>
      <c r="AW15" s="54">
        <v>0.97165094428255538</v>
      </c>
      <c r="AX15" s="39">
        <v>32.744155518259404</v>
      </c>
      <c r="AY15" s="30">
        <v>1.0137720542864606E-3</v>
      </c>
      <c r="AZ15" s="30">
        <v>4.7387095404312172E-6</v>
      </c>
      <c r="BA15" s="31">
        <v>6.0755222957980157</v>
      </c>
      <c r="BB15" s="37">
        <v>0.99050077193317887</v>
      </c>
    </row>
    <row r="16" spans="1:54" x14ac:dyDescent="0.35">
      <c r="A16" s="2" t="s">
        <v>5</v>
      </c>
      <c r="B16" s="39">
        <v>64.619182568946655</v>
      </c>
      <c r="C16" s="30">
        <v>4.0295365382605478E-5</v>
      </c>
      <c r="D16" s="31">
        <v>1.003286374672181</v>
      </c>
      <c r="E16" s="31">
        <v>1.0020936353390033</v>
      </c>
      <c r="F16" s="31">
        <v>10.145152149130148</v>
      </c>
      <c r="G16" s="36">
        <v>0.98702492974638834</v>
      </c>
      <c r="H16" s="50">
        <v>64.588002972657549</v>
      </c>
      <c r="I16" s="44">
        <v>3.577606847106497E-5</v>
      </c>
      <c r="J16" s="45">
        <v>0.94021307430879775</v>
      </c>
      <c r="K16" s="45">
        <v>1.4975540996854195</v>
      </c>
      <c r="L16" s="45">
        <v>7.1782533620751243</v>
      </c>
      <c r="M16" s="54">
        <v>0.99254682782437531</v>
      </c>
      <c r="N16" s="39">
        <v>65.315746834734767</v>
      </c>
      <c r="O16" s="30">
        <v>4.0921229647645806E-5</v>
      </c>
      <c r="P16" s="31">
        <v>11.856510886199468</v>
      </c>
      <c r="Q16" s="36">
        <v>0.98483619964986535</v>
      </c>
      <c r="R16" s="50">
        <v>63.912030193660556</v>
      </c>
      <c r="S16" s="44">
        <v>4.6631141111003031E-5</v>
      </c>
      <c r="T16" s="45">
        <v>8.0292026886293879</v>
      </c>
      <c r="U16" s="54">
        <v>0.99166328812138171</v>
      </c>
      <c r="V16" s="39">
        <v>62.720289672829757</v>
      </c>
      <c r="W16" s="30">
        <v>1.8742716378117178E-3</v>
      </c>
      <c r="X16" s="31">
        <v>5.7847076413020497</v>
      </c>
      <c r="Y16" s="36">
        <v>0.99260168926604675</v>
      </c>
      <c r="Z16" s="50">
        <v>65.007852455211548</v>
      </c>
      <c r="AA16" s="44">
        <v>2.2831507818083232E-3</v>
      </c>
      <c r="AB16" s="45">
        <v>19.211578084434098</v>
      </c>
      <c r="AC16" s="54">
        <v>0.98005264066252573</v>
      </c>
      <c r="AD16" s="39">
        <v>63.864061685608299</v>
      </c>
      <c r="AE16" s="30">
        <v>5.3534396911680219E-3</v>
      </c>
      <c r="AF16" s="72">
        <v>2.7087432837978991</v>
      </c>
      <c r="AG16" s="30">
        <f t="shared" si="0"/>
        <v>1.976355501530593E-3</v>
      </c>
      <c r="AH16" s="75">
        <v>4.6261183966038733</v>
      </c>
      <c r="AI16" s="36">
        <v>0.99408345874806747</v>
      </c>
      <c r="AJ16" s="50">
        <v>62.743481148228597</v>
      </c>
      <c r="AK16" s="44">
        <v>2.5645181098235119E-4</v>
      </c>
      <c r="AL16" s="44">
        <v>9.898805192641362E-2</v>
      </c>
      <c r="AM16" s="44">
        <f t="shared" si="1"/>
        <v>2.5907350027758302E-3</v>
      </c>
      <c r="AN16" s="45">
        <v>5.2162687966748695</v>
      </c>
      <c r="AO16" s="54">
        <v>0.99458395413271994</v>
      </c>
      <c r="AP16" s="39">
        <v>63.060533471522156</v>
      </c>
      <c r="AQ16" s="30">
        <v>1.9601502797239115E-3</v>
      </c>
      <c r="AR16" s="31">
        <v>4.7702091089451004</v>
      </c>
      <c r="AS16" s="36">
        <v>0.99389917495537139</v>
      </c>
      <c r="AT16" s="50">
        <v>63.436067678214897</v>
      </c>
      <c r="AU16" s="44">
        <v>2.2446070787939059E-3</v>
      </c>
      <c r="AV16" s="45">
        <v>6.8871700959241711</v>
      </c>
      <c r="AW16" s="54">
        <v>0.99284905924344558</v>
      </c>
      <c r="AX16" s="39">
        <v>64.030715475809373</v>
      </c>
      <c r="AY16" s="30">
        <v>2.7269863109124735E-3</v>
      </c>
      <c r="AZ16" s="30">
        <v>7.9850566631778583E-6</v>
      </c>
      <c r="BA16" s="31">
        <v>5.5564139468923637</v>
      </c>
      <c r="BB16" s="37">
        <v>0.99289366386434552</v>
      </c>
    </row>
    <row r="17" spans="1:54" x14ac:dyDescent="0.35">
      <c r="A17" s="2" t="s">
        <v>8</v>
      </c>
      <c r="B17" s="39">
        <v>76.804052533285855</v>
      </c>
      <c r="C17" s="30">
        <v>2.4548881459892432E-5</v>
      </c>
      <c r="D17" s="31">
        <v>1.1296494931472318</v>
      </c>
      <c r="E17" s="31">
        <v>0.94121513592422323</v>
      </c>
      <c r="F17" s="31">
        <v>4.5885227363748688</v>
      </c>
      <c r="G17" s="36">
        <v>0.99844846363961737</v>
      </c>
      <c r="H17" s="50">
        <v>75.767221437925784</v>
      </c>
      <c r="I17" s="44">
        <v>3.7562727862717855E-5</v>
      </c>
      <c r="J17" s="45">
        <v>1.0261296139639897</v>
      </c>
      <c r="K17" s="45">
        <v>0.98631306304613364</v>
      </c>
      <c r="L17" s="45">
        <v>9.8944566301675074</v>
      </c>
      <c r="M17" s="54">
        <v>0.99702077668429279</v>
      </c>
      <c r="N17" s="39">
        <v>77.076321158351831</v>
      </c>
      <c r="O17" s="30">
        <v>3.8730494115558389E-5</v>
      </c>
      <c r="P17" s="31">
        <v>6.2876588908868696</v>
      </c>
      <c r="Q17" s="36">
        <v>0.99787392763392913</v>
      </c>
      <c r="R17" s="50">
        <v>76.222310682405578</v>
      </c>
      <c r="S17" s="44">
        <v>4.3257874337237508E-5</v>
      </c>
      <c r="T17" s="45">
        <v>5.164634903476526</v>
      </c>
      <c r="U17" s="54">
        <v>0.9984449271651118</v>
      </c>
      <c r="V17" s="39">
        <v>72.006227616197251</v>
      </c>
      <c r="W17" s="30">
        <v>1.7318044883396955E-3</v>
      </c>
      <c r="X17" s="31">
        <v>78.454349647120807</v>
      </c>
      <c r="Y17" s="36">
        <v>0.97347190302823872</v>
      </c>
      <c r="Z17" s="50">
        <v>71.168465864600478</v>
      </c>
      <c r="AA17" s="44">
        <v>1.8431967104622197E-3</v>
      </c>
      <c r="AB17" s="45">
        <v>107.10993010786302</v>
      </c>
      <c r="AC17" s="57">
        <v>0.96774917380018755</v>
      </c>
      <c r="AD17" s="39">
        <v>74.122205496127862</v>
      </c>
      <c r="AE17" s="30">
        <v>1.0000000825213792E-4</v>
      </c>
      <c r="AF17" s="72">
        <v>3.381198677925653E-2</v>
      </c>
      <c r="AG17" s="30">
        <f t="shared" si="0"/>
        <v>2.9575312715278651E-3</v>
      </c>
      <c r="AH17" s="75">
        <v>30.846493958598096</v>
      </c>
      <c r="AI17" s="36">
        <v>0.98956974614341764</v>
      </c>
      <c r="AJ17" s="50">
        <v>73.226383865119075</v>
      </c>
      <c r="AK17" s="44">
        <v>1.0016261966175933E-4</v>
      </c>
      <c r="AL17" s="44">
        <v>2.9766662576432328E-2</v>
      </c>
      <c r="AM17" s="44">
        <f t="shared" si="1"/>
        <v>3.3649260949080266E-3</v>
      </c>
      <c r="AN17" s="45">
        <v>35.609427965050685</v>
      </c>
      <c r="AO17" s="54">
        <v>0.98927799251461479</v>
      </c>
      <c r="AP17" s="39">
        <v>72.981852036219308</v>
      </c>
      <c r="AQ17" s="30">
        <v>1.8244719847110894E-3</v>
      </c>
      <c r="AR17" s="31">
        <v>73.354410116348191</v>
      </c>
      <c r="AS17" s="36">
        <v>0.97519636688564093</v>
      </c>
      <c r="AT17" s="50">
        <v>71.319962546459692</v>
      </c>
      <c r="AU17" s="44">
        <v>1.8897062655594678E-3</v>
      </c>
      <c r="AV17" s="45">
        <v>101.98001405630195</v>
      </c>
      <c r="AW17" s="54">
        <v>0.96929379278025707</v>
      </c>
      <c r="AX17" s="39">
        <v>73.594454013356184</v>
      </c>
      <c r="AY17" s="30">
        <v>2.4537370289684662E-3</v>
      </c>
      <c r="AZ17" s="30">
        <v>5.0511730648099546E-6</v>
      </c>
      <c r="BA17" s="31">
        <v>31.26104114459142</v>
      </c>
      <c r="BB17" s="37">
        <v>0.98942957357173922</v>
      </c>
    </row>
    <row r="18" spans="1:54" x14ac:dyDescent="0.35">
      <c r="A18" s="2" t="s">
        <v>9</v>
      </c>
      <c r="B18" s="39">
        <v>96.999998757599627</v>
      </c>
      <c r="C18" s="30">
        <v>3.2000001413166823E-5</v>
      </c>
      <c r="D18" s="31">
        <v>1.000242919921875</v>
      </c>
      <c r="E18" s="31">
        <v>1.0000593689586073</v>
      </c>
      <c r="F18" s="31">
        <v>47.505741333327457</v>
      </c>
      <c r="G18" s="36">
        <v>0.98390959951387669</v>
      </c>
      <c r="H18" s="50">
        <v>94.006599964418797</v>
      </c>
      <c r="I18" s="44">
        <v>3.1130575075207006E-5</v>
      </c>
      <c r="J18" s="45">
        <v>0.98530447697913293</v>
      </c>
      <c r="K18" s="45">
        <v>1.1018108661169916</v>
      </c>
      <c r="L18" s="45">
        <v>5.8808120361892318</v>
      </c>
      <c r="M18" s="54">
        <v>0.99839923211872061</v>
      </c>
      <c r="N18" s="39">
        <v>96.733614242897843</v>
      </c>
      <c r="O18" s="30">
        <v>3.1060986871331688E-5</v>
      </c>
      <c r="P18" s="31">
        <v>24.681973750086335</v>
      </c>
      <c r="Q18" s="36">
        <v>0.99164010851572038</v>
      </c>
      <c r="R18" s="50">
        <v>95.126178477612086</v>
      </c>
      <c r="S18" s="44">
        <v>3.3532449159562527E-5</v>
      </c>
      <c r="T18" s="45">
        <v>2.5007520728622801</v>
      </c>
      <c r="U18" s="54">
        <v>0.99931929067403513</v>
      </c>
      <c r="V18" s="39">
        <v>95.000004455147987</v>
      </c>
      <c r="W18" s="30">
        <v>2.0405961165582067E-3</v>
      </c>
      <c r="X18" s="31">
        <v>44.202062887303015</v>
      </c>
      <c r="Y18" s="36">
        <v>0.98502856972214947</v>
      </c>
      <c r="Z18" s="50">
        <v>95.000006155439436</v>
      </c>
      <c r="AA18" s="44">
        <v>2.260095511301395E-3</v>
      </c>
      <c r="AB18" s="45">
        <v>104.29840045305235</v>
      </c>
      <c r="AC18" s="54">
        <v>0.97160978305604073</v>
      </c>
      <c r="AD18" s="39">
        <v>95.000143545304269</v>
      </c>
      <c r="AE18" s="30">
        <v>1.0000001407324025E-4</v>
      </c>
      <c r="AF18" s="72">
        <v>3.6091056435985917E-2</v>
      </c>
      <c r="AG18" s="30">
        <f t="shared" si="0"/>
        <v>2.7707699343910461E-3</v>
      </c>
      <c r="AH18" s="75">
        <v>25.011525702881023</v>
      </c>
      <c r="AI18" s="36">
        <v>0.99152848784098457</v>
      </c>
      <c r="AJ18" s="50">
        <v>95.0000167940902</v>
      </c>
      <c r="AK18" s="44">
        <v>2.4467148746158939E-4</v>
      </c>
      <c r="AL18" s="44">
        <v>8.8118448124995072E-2</v>
      </c>
      <c r="AM18" s="44">
        <f t="shared" si="1"/>
        <v>2.7766204769576232E-3</v>
      </c>
      <c r="AN18" s="45">
        <v>67.434874209617675</v>
      </c>
      <c r="AO18" s="54">
        <v>0.9816441028809314</v>
      </c>
      <c r="AP18" s="39">
        <v>95.000017450619922</v>
      </c>
      <c r="AQ18" s="30">
        <v>2.0423809696504414E-3</v>
      </c>
      <c r="AR18" s="31">
        <v>44.301211106061729</v>
      </c>
      <c r="AS18" s="36">
        <v>0.98499498779073358</v>
      </c>
      <c r="AT18" s="50">
        <v>95.410822983535994</v>
      </c>
      <c r="AU18" s="44">
        <v>2.3882145027974218E-3</v>
      </c>
      <c r="AV18" s="45">
        <v>107.2002631263282</v>
      </c>
      <c r="AW18" s="54">
        <v>0.97081989068494001</v>
      </c>
      <c r="AX18" s="39">
        <v>95.000024417494231</v>
      </c>
      <c r="AY18" s="30">
        <v>2.7633288941122012E-3</v>
      </c>
      <c r="AZ18" s="30">
        <v>5.6156831743875358E-6</v>
      </c>
      <c r="BA18" s="31">
        <v>15.9052984717984</v>
      </c>
      <c r="BB18" s="37">
        <v>0.99461280647181438</v>
      </c>
    </row>
  </sheetData>
  <mergeCells count="11">
    <mergeCell ref="AX1:BB1"/>
    <mergeCell ref="R1:U1"/>
    <mergeCell ref="V1:Y1"/>
    <mergeCell ref="Z1:AC1"/>
    <mergeCell ref="AD1:AI1"/>
    <mergeCell ref="AJ1:AO1"/>
    <mergeCell ref="B1:G1"/>
    <mergeCell ref="H1:M1"/>
    <mergeCell ref="N1:Q1"/>
    <mergeCell ref="AP1:AS1"/>
    <mergeCell ref="AT1:AW1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_Btn">
              <controlPr defaultSize="0" print="0" autoFill="0" autoPict="0" macro="[0]!fill_sheet">
                <anchor moveWithCells="1" sizeWithCells="1">
                  <from>
                    <xdr:col>0</xdr:col>
                    <xdr:colOff>133350</xdr:colOff>
                    <xdr:row>19</xdr:row>
                    <xdr:rowOff>184150</xdr:rowOff>
                  </from>
                  <to>
                    <xdr:col>0</xdr:col>
                    <xdr:colOff>1574800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5" name="Btn_Order_n_m">
              <controlPr defaultSize="0" print="0" autoFill="0" autoPict="0" macro="[0]!OpenExternalWorkbook">
                <anchor moveWithCells="1" siz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" name="Btn_Order_n_m_CE">
              <controlPr defaultSize="0" print="0" autoFill="0" autoPict="0" macro="[0]!OpenExternalWorkbook">
                <anchor moveWithCells="1" siz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488950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" name="Btn_Order1">
              <controlPr defaultSize="0" print="0" autoFill="0" autoPict="0" macro="[0]!OpenExternalWorkbook">
                <anchor moveWithCells="1" siz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8" name="Btn_Order1_CE">
              <controlPr defaultSize="0" print="0" autoFill="0" autoPict="0" macro="[0]!OpenExternalWorkbook">
                <anchor moveWithCells="1" sizeWithCells="1">
                  <from>
                    <xdr:col>18</xdr:col>
                    <xdr:colOff>0</xdr:colOff>
                    <xdr:row>19</xdr:row>
                    <xdr:rowOff>0</xdr:rowOff>
                  </from>
                  <to>
                    <xdr:col>19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9" name="Btn_Order0">
              <controlPr defaultSize="0" print="0" autoFill="0" autoPict="0" macro="[0]!OpenExternalWorkbook">
                <anchor moveWithCells="1" sizeWithCells="1">
                  <from>
                    <xdr:col>22</xdr:col>
                    <xdr:colOff>0</xdr:colOff>
                    <xdr:row>19</xdr:row>
                    <xdr:rowOff>0</xdr:rowOff>
                  </from>
                  <to>
                    <xdr:col>23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0" name="Btn_Order0_CE">
              <controlPr defaultSize="0" print="0" autoFill="0" autoPict="0" macro="[0]!OpenExternalWorkbook">
                <anchor moveWithCells="1" sizeWithCells="1">
                  <from>
                    <xdr:col>26</xdr:col>
                    <xdr:colOff>0</xdr:colOff>
                    <xdr:row>19</xdr:row>
                    <xdr:rowOff>0</xdr:rowOff>
                  </from>
                  <to>
                    <xdr:col>27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" name="Btn_AlphaBeta">
              <controlPr defaultSize="0" print="0" autoFill="0" autoPict="0" macro="[0]!OpenExternalWorkbook">
                <anchor moveWithCells="1" sizeWithCells="1">
                  <from>
                    <xdr:col>30</xdr:col>
                    <xdr:colOff>0</xdr:colOff>
                    <xdr:row>19</xdr:row>
                    <xdr:rowOff>0</xdr:rowOff>
                  </from>
                  <to>
                    <xdr:col>31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" name="Btn_AlphaBeta_CE">
              <controlPr defaultSize="0" print="0" autoFill="0" autoPict="0" macro="[0]!OpenExternalWorkbook">
                <anchor moveWithCells="1" sizeWithCells="1">
                  <from>
                    <xdr:col>36</xdr:col>
                    <xdr:colOff>0</xdr:colOff>
                    <xdr:row>19</xdr:row>
                    <xdr:rowOff>0</xdr:rowOff>
                  </from>
                  <to>
                    <xdr:col>37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" name="Btn_Alpha">
              <controlPr defaultSize="0" print="0" autoFill="0" autoPict="0" macro="[0]!OpenExternalWorkbook">
                <anchor moveWithCells="1" sizeWithCells="1">
                  <from>
                    <xdr:col>42</xdr:col>
                    <xdr:colOff>0</xdr:colOff>
                    <xdr:row>19</xdr:row>
                    <xdr:rowOff>0</xdr:rowOff>
                  </from>
                  <to>
                    <xdr:col>43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4" name="Btn_Alpha_CE">
              <controlPr defaultSize="0" print="0" autoFill="0" autoPict="0" macro="[0]!OpenExternalWorkbook">
                <anchor moveWithCells="1" sizeWithCells="1">
                  <from>
                    <xdr:col>46</xdr:col>
                    <xdr:colOff>0</xdr:colOff>
                    <xdr:row>19</xdr:row>
                    <xdr:rowOff>0</xdr:rowOff>
                  </from>
                  <to>
                    <xdr:col>47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" name="Btn_AlphaGamma">
              <controlPr defaultSize="0" print="0" autoFill="0" autoPict="0" macro="[0]!OpenExternalWorkbook">
                <anchor moveWithCells="1" sizeWithCells="1">
                  <from>
                    <xdr:col>50</xdr:col>
                    <xdr:colOff>0</xdr:colOff>
                    <xdr:row>19</xdr:row>
                    <xdr:rowOff>0</xdr:rowOff>
                  </from>
                  <to>
                    <xdr:col>51</xdr:col>
                    <xdr:colOff>495300</xdr:colOff>
                    <xdr:row>20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2F76B-363F-4CDF-9C25-8E25053799BA}">
  <dimension ref="A1:K27"/>
  <sheetViews>
    <sheetView topLeftCell="A6" zoomScale="85" zoomScaleNormal="85" workbookViewId="0">
      <selection activeCell="J20" sqref="J20"/>
    </sheetView>
  </sheetViews>
  <sheetFormatPr baseColWidth="10" defaultRowHeight="14.5" x14ac:dyDescent="0.35"/>
  <cols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9" ht="15" thickBot="1" x14ac:dyDescent="0.4"/>
    <row r="2" spans="1:9" ht="15" thickBot="1" x14ac:dyDescent="0.4">
      <c r="B2" s="116" t="s">
        <v>94</v>
      </c>
      <c r="C2" s="116"/>
      <c r="D2" s="116"/>
      <c r="E2" s="116"/>
      <c r="F2" s="115" t="s">
        <v>95</v>
      </c>
      <c r="G2" s="115"/>
      <c r="H2" s="115"/>
      <c r="I2" s="115"/>
    </row>
    <row r="3" spans="1:9" ht="15" thickBot="1" x14ac:dyDescent="0.4">
      <c r="B3" s="95" t="s">
        <v>72</v>
      </c>
      <c r="C3" s="95" t="s">
        <v>21</v>
      </c>
      <c r="D3" s="95" t="s">
        <v>93</v>
      </c>
      <c r="E3" s="95" t="s">
        <v>20</v>
      </c>
      <c r="F3" s="88" t="s">
        <v>72</v>
      </c>
      <c r="G3" s="80" t="s">
        <v>21</v>
      </c>
      <c r="H3" s="87" t="s">
        <v>93</v>
      </c>
      <c r="I3" s="82" t="s">
        <v>20</v>
      </c>
    </row>
    <row r="4" spans="1:9" x14ac:dyDescent="0.35">
      <c r="A4" s="2" t="s">
        <v>3</v>
      </c>
      <c r="B4" s="38">
        <v>29.945292387472737</v>
      </c>
      <c r="C4" s="32">
        <v>1.2511627081162233E-4</v>
      </c>
      <c r="D4" s="32" t="b">
        <f t="shared" ref="D4:D11" si="0">AND(C4&gt;$H$24,C4&lt;$I$24)</f>
        <v>0</v>
      </c>
      <c r="E4" s="91">
        <v>0.96481676330535215</v>
      </c>
      <c r="F4" s="92">
        <v>28.221973572007339</v>
      </c>
      <c r="G4" s="48">
        <v>1.096614311189997E-4</v>
      </c>
      <c r="H4" s="32" t="b">
        <f t="shared" ref="H4:H11" si="1">AND(G4&gt;M$24,G4&lt;$I$24)</f>
        <v>0</v>
      </c>
      <c r="I4" s="53">
        <v>0.98036865602059475</v>
      </c>
    </row>
    <row r="5" spans="1:9" x14ac:dyDescent="0.35">
      <c r="A5" s="2" t="s">
        <v>1</v>
      </c>
      <c r="B5" s="39">
        <v>37.856582032176171</v>
      </c>
      <c r="C5" s="30">
        <v>6.3852806998087236E-5</v>
      </c>
      <c r="D5" s="30" t="b">
        <f t="shared" si="0"/>
        <v>1</v>
      </c>
      <c r="E5" s="84">
        <v>0.94356973293434765</v>
      </c>
      <c r="F5" s="85">
        <v>38.374506478941953</v>
      </c>
      <c r="G5" s="44">
        <v>8.098563653344848E-5</v>
      </c>
      <c r="H5" s="30" t="b">
        <f t="shared" si="1"/>
        <v>1</v>
      </c>
      <c r="I5" s="54">
        <v>0.97690469081990294</v>
      </c>
    </row>
    <row r="6" spans="1:9" x14ac:dyDescent="0.35">
      <c r="A6" s="2" t="s">
        <v>38</v>
      </c>
      <c r="B6" s="39">
        <v>66.390278847292095</v>
      </c>
      <c r="C6" s="30">
        <v>4.7730595894918843E-5</v>
      </c>
      <c r="D6" s="30" t="b">
        <f t="shared" si="0"/>
        <v>1</v>
      </c>
      <c r="E6" s="84">
        <v>0.97205588725423386</v>
      </c>
      <c r="F6" s="46" t="s">
        <v>67</v>
      </c>
      <c r="G6" s="46" t="s">
        <v>67</v>
      </c>
      <c r="H6" s="30" t="b">
        <f t="shared" si="1"/>
        <v>0</v>
      </c>
      <c r="I6" s="55" t="s">
        <v>67</v>
      </c>
    </row>
    <row r="7" spans="1:9" x14ac:dyDescent="0.35">
      <c r="A7" s="2" t="s">
        <v>40</v>
      </c>
      <c r="B7" s="39">
        <v>66.091562820419725</v>
      </c>
      <c r="C7" s="30">
        <v>5.6021022448983134E-5</v>
      </c>
      <c r="D7" s="30" t="b">
        <f t="shared" si="0"/>
        <v>1</v>
      </c>
      <c r="E7" s="84">
        <v>0.99020134737414112</v>
      </c>
      <c r="F7" s="46" t="s">
        <v>67</v>
      </c>
      <c r="G7" s="46" t="s">
        <v>67</v>
      </c>
      <c r="H7" s="30" t="b">
        <f t="shared" si="1"/>
        <v>0</v>
      </c>
      <c r="I7" s="55" t="s">
        <v>67</v>
      </c>
    </row>
    <row r="8" spans="1:9" x14ac:dyDescent="0.35">
      <c r="A8" s="2" t="s">
        <v>42</v>
      </c>
      <c r="B8" s="39">
        <v>71.269013371249443</v>
      </c>
      <c r="C8" s="30">
        <v>7.4133933245383306E-5</v>
      </c>
      <c r="D8" s="30" t="b">
        <f t="shared" si="0"/>
        <v>1</v>
      </c>
      <c r="E8" s="84">
        <v>0.982564267039999</v>
      </c>
      <c r="F8" s="46" t="s">
        <v>67</v>
      </c>
      <c r="G8" s="46" t="s">
        <v>67</v>
      </c>
      <c r="H8" s="30" t="b">
        <f t="shared" si="1"/>
        <v>0</v>
      </c>
      <c r="I8" s="55" t="s">
        <v>67</v>
      </c>
    </row>
    <row r="9" spans="1:9" x14ac:dyDescent="0.35">
      <c r="A9" s="2" t="s">
        <v>0</v>
      </c>
      <c r="B9" s="39">
        <v>100.70115000433273</v>
      </c>
      <c r="C9" s="30">
        <v>5.1808884099220641E-5</v>
      </c>
      <c r="D9" s="30" t="b">
        <f t="shared" si="0"/>
        <v>1</v>
      </c>
      <c r="E9" s="84">
        <v>0.96818071846171905</v>
      </c>
      <c r="F9" s="85">
        <v>101.10269427308742</v>
      </c>
      <c r="G9" s="44">
        <v>6.2414224599995262E-5</v>
      </c>
      <c r="H9" s="30" t="b">
        <f t="shared" si="1"/>
        <v>1</v>
      </c>
      <c r="I9" s="54">
        <v>0.97593214646583282</v>
      </c>
    </row>
    <row r="10" spans="1:9" x14ac:dyDescent="0.35">
      <c r="A10" s="2" t="s">
        <v>2</v>
      </c>
      <c r="B10" s="39">
        <v>102.62564632162055</v>
      </c>
      <c r="C10" s="30">
        <v>5.5116440726033954E-5</v>
      </c>
      <c r="D10" s="30" t="b">
        <f t="shared" si="0"/>
        <v>1</v>
      </c>
      <c r="E10" s="84">
        <v>0.95641686432953266</v>
      </c>
      <c r="F10" s="85">
        <v>103.05758614231991</v>
      </c>
      <c r="G10" s="44">
        <v>6.2750698436533239E-5</v>
      </c>
      <c r="H10" s="30" t="b">
        <f t="shared" si="1"/>
        <v>1</v>
      </c>
      <c r="I10" s="54">
        <v>0.96836764527549601</v>
      </c>
    </row>
    <row r="11" spans="1:9" ht="15" thickBot="1" x14ac:dyDescent="0.4">
      <c r="A11" s="2" t="s">
        <v>4</v>
      </c>
      <c r="B11" s="62">
        <v>119.95998399474422</v>
      </c>
      <c r="C11" s="63">
        <v>7.0777209093270303E-5</v>
      </c>
      <c r="D11" s="63" t="b">
        <f t="shared" si="0"/>
        <v>1</v>
      </c>
      <c r="E11" s="89">
        <v>0.96961243262428132</v>
      </c>
      <c r="F11" s="90">
        <v>113.08086172524536</v>
      </c>
      <c r="G11" s="67">
        <v>7.7241108272220441E-5</v>
      </c>
      <c r="H11" s="63" t="b">
        <f t="shared" si="1"/>
        <v>1</v>
      </c>
      <c r="I11" s="69">
        <v>0.98828532755622422</v>
      </c>
    </row>
    <row r="12" spans="1:9" x14ac:dyDescent="0.35">
      <c r="A12" s="2" t="s">
        <v>6</v>
      </c>
      <c r="B12" s="38">
        <v>13.956228923426618</v>
      </c>
      <c r="C12" s="32">
        <v>5.7674330015737343E-5</v>
      </c>
      <c r="D12" s="32" t="b">
        <f t="shared" ref="D12:D20" si="2">AND(C12&gt;$H$26,C12&lt;$I$26)</f>
        <v>0</v>
      </c>
      <c r="E12" s="91">
        <v>0.99281551305296867</v>
      </c>
      <c r="F12" s="92">
        <v>12.674402208884107</v>
      </c>
      <c r="G12" s="48">
        <v>5.6703856317507851E-5</v>
      </c>
      <c r="H12" s="32" t="b">
        <f t="shared" ref="H12:H20" si="3">AND(G12&gt;$H$27,G12&lt;$I$27)</f>
        <v>0</v>
      </c>
      <c r="I12" s="53">
        <v>0.96990405976237426</v>
      </c>
    </row>
    <row r="13" spans="1:9" x14ac:dyDescent="0.35">
      <c r="A13" s="2" t="s">
        <v>11</v>
      </c>
      <c r="B13" s="39">
        <v>27.544981764828908</v>
      </c>
      <c r="C13" s="30">
        <v>4.1219297931074816E-5</v>
      </c>
      <c r="D13" s="30" t="b">
        <f t="shared" si="2"/>
        <v>1</v>
      </c>
      <c r="E13" s="84">
        <v>0.99813384438092401</v>
      </c>
      <c r="F13" s="85">
        <v>26.65804982932276</v>
      </c>
      <c r="G13" s="44">
        <v>3.879967755108767E-5</v>
      </c>
      <c r="H13" s="30" t="b">
        <f t="shared" si="3"/>
        <v>1</v>
      </c>
      <c r="I13" s="54">
        <v>0.98915484392462805</v>
      </c>
    </row>
    <row r="14" spans="1:9" x14ac:dyDescent="0.35">
      <c r="A14" s="2" t="s">
        <v>7</v>
      </c>
      <c r="B14" s="39">
        <v>32.54560143810447</v>
      </c>
      <c r="C14" s="30">
        <v>4.2059448563366171E-5</v>
      </c>
      <c r="D14" s="30" t="b">
        <f t="shared" si="2"/>
        <v>1</v>
      </c>
      <c r="E14" s="84">
        <v>0.99834997171188788</v>
      </c>
      <c r="F14" s="85">
        <v>33.587916947277819</v>
      </c>
      <c r="G14" s="44">
        <v>5.0320203487956668E-5</v>
      </c>
      <c r="H14" s="30" t="b">
        <f t="shared" si="3"/>
        <v>0</v>
      </c>
      <c r="I14" s="54">
        <v>0.99018701231249995</v>
      </c>
    </row>
    <row r="15" spans="1:9" x14ac:dyDescent="0.35">
      <c r="A15" s="2" t="s">
        <v>10</v>
      </c>
      <c r="B15" s="39">
        <v>34.092898823423802</v>
      </c>
      <c r="C15" s="30">
        <v>3.0717102366148833E-5</v>
      </c>
      <c r="D15" s="30" t="b">
        <f t="shared" si="2"/>
        <v>1</v>
      </c>
      <c r="E15" s="84">
        <v>0.99780655173412536</v>
      </c>
      <c r="F15" s="85">
        <v>33.152933620137603</v>
      </c>
      <c r="G15" s="44">
        <v>3.6558101409220049E-5</v>
      </c>
      <c r="H15" s="30" t="b">
        <f t="shared" si="3"/>
        <v>1</v>
      </c>
      <c r="I15" s="54">
        <v>0.99789243765666702</v>
      </c>
    </row>
    <row r="16" spans="1:9" x14ac:dyDescent="0.35">
      <c r="A16" s="2" t="s">
        <v>14</v>
      </c>
      <c r="B16" s="39">
        <v>34.615356247234075</v>
      </c>
      <c r="C16" s="30">
        <v>3.5192120890118084E-5</v>
      </c>
      <c r="D16" s="30" t="b">
        <f t="shared" si="2"/>
        <v>1</v>
      </c>
      <c r="E16" s="84">
        <v>0.99898352989154338</v>
      </c>
      <c r="F16" s="85">
        <v>34.608622401670509</v>
      </c>
      <c r="G16" s="44">
        <v>3.8190290373202065E-5</v>
      </c>
      <c r="H16" s="30" t="b">
        <f t="shared" si="3"/>
        <v>1</v>
      </c>
      <c r="I16" s="54">
        <v>0.99835987634350354</v>
      </c>
    </row>
    <row r="17" spans="1:11" x14ac:dyDescent="0.35">
      <c r="A17" s="2" t="s">
        <v>5</v>
      </c>
      <c r="B17" s="39">
        <v>65.315746834734767</v>
      </c>
      <c r="C17" s="30">
        <v>4.0921229647645806E-5</v>
      </c>
      <c r="D17" s="30" t="b">
        <f t="shared" si="2"/>
        <v>1</v>
      </c>
      <c r="E17" s="84">
        <v>0.98483619964986535</v>
      </c>
      <c r="F17" s="85">
        <v>63.912030193660556</v>
      </c>
      <c r="G17" s="44">
        <v>4.6631141111003031E-5</v>
      </c>
      <c r="H17" s="30" t="b">
        <f t="shared" si="3"/>
        <v>1</v>
      </c>
      <c r="I17" s="54">
        <v>0.99166328812138171</v>
      </c>
    </row>
    <row r="18" spans="1:11" x14ac:dyDescent="0.35">
      <c r="A18" s="2" t="s">
        <v>8</v>
      </c>
      <c r="B18" s="39">
        <v>77.076321158351831</v>
      </c>
      <c r="C18" s="30">
        <v>3.8730494115558389E-5</v>
      </c>
      <c r="D18" s="30" t="b">
        <f t="shared" si="2"/>
        <v>1</v>
      </c>
      <c r="E18" s="84">
        <v>0.99787392763392913</v>
      </c>
      <c r="F18" s="85">
        <v>76.222310682405578</v>
      </c>
      <c r="G18" s="44">
        <v>4.3257874337237508E-5</v>
      </c>
      <c r="H18" s="30" t="b">
        <f t="shared" si="3"/>
        <v>1</v>
      </c>
      <c r="I18" s="54">
        <v>0.9984449271651118</v>
      </c>
    </row>
    <row r="19" spans="1:11" x14ac:dyDescent="0.35">
      <c r="A19" s="2" t="s">
        <v>9</v>
      </c>
      <c r="B19" s="39">
        <v>96.733614242897843</v>
      </c>
      <c r="C19" s="30">
        <v>3.1060986871331688E-5</v>
      </c>
      <c r="D19" s="30" t="b">
        <f t="shared" si="2"/>
        <v>1</v>
      </c>
      <c r="E19" s="84">
        <v>0.99164010851572038</v>
      </c>
      <c r="F19" s="85">
        <v>95.126178477612086</v>
      </c>
      <c r="G19" s="44">
        <v>3.3532449159562527E-5</v>
      </c>
      <c r="H19" s="30" t="b">
        <f t="shared" si="3"/>
        <v>0</v>
      </c>
      <c r="I19" s="54">
        <v>0.99931929067403513</v>
      </c>
    </row>
    <row r="20" spans="1:11" ht="15" thickBot="1" x14ac:dyDescent="0.4">
      <c r="A20" s="2" t="s">
        <v>15</v>
      </c>
      <c r="B20" s="40">
        <v>96.739428122779699</v>
      </c>
      <c r="C20" s="34">
        <v>2.1902117170888224E-5</v>
      </c>
      <c r="D20" s="34" t="b">
        <f t="shared" si="2"/>
        <v>0</v>
      </c>
      <c r="E20" s="93">
        <v>0.99299058272004259</v>
      </c>
      <c r="F20" s="94">
        <v>96.216485180628922</v>
      </c>
      <c r="G20" s="52">
        <v>2.44889339973639E-5</v>
      </c>
      <c r="H20" s="34" t="b">
        <f t="shared" si="3"/>
        <v>0</v>
      </c>
      <c r="I20" s="56">
        <v>0.99391011715076949</v>
      </c>
    </row>
    <row r="23" spans="1:11" ht="15" thickBot="1" x14ac:dyDescent="0.4">
      <c r="C23" s="98" t="s">
        <v>86</v>
      </c>
      <c r="D23" s="98" t="s">
        <v>87</v>
      </c>
      <c r="E23" s="98" t="s">
        <v>89</v>
      </c>
      <c r="F23" s="98" t="s">
        <v>90</v>
      </c>
      <c r="G23" s="98" t="s">
        <v>88</v>
      </c>
      <c r="H23" s="98" t="s">
        <v>91</v>
      </c>
      <c r="I23" s="98" t="s">
        <v>92</v>
      </c>
    </row>
    <row r="24" spans="1:11" x14ac:dyDescent="0.35">
      <c r="A24" s="117" t="s">
        <v>33</v>
      </c>
      <c r="B24" s="102" t="s">
        <v>84</v>
      </c>
      <c r="C24" s="103">
        <f>AVERAGE($C$4:$C$11)</f>
        <v>6.806964541468997E-5</v>
      </c>
      <c r="D24" s="104">
        <f>_xlfn.STDEV.S($C$4:$C$11)</f>
        <v>2.4805672750916909E-5</v>
      </c>
      <c r="E24" s="104">
        <f>COUNT($C$4:$C$11)</f>
        <v>8</v>
      </c>
      <c r="F24" s="32">
        <v>0.05</v>
      </c>
      <c r="G24" s="104">
        <f>_xlfn.CONFIDENCE.T(F24,D24,E24)</f>
        <v>2.0738061394866574E-5</v>
      </c>
      <c r="H24" s="103">
        <f>$C24-$G24</f>
        <v>4.7331584019823399E-5</v>
      </c>
      <c r="I24" s="105">
        <f>$C24+$G24</f>
        <v>8.880770680955654E-5</v>
      </c>
      <c r="K24" s="86"/>
    </row>
    <row r="25" spans="1:11" ht="15" thickBot="1" x14ac:dyDescent="0.4">
      <c r="A25" s="118"/>
      <c r="B25" s="106" t="s">
        <v>85</v>
      </c>
      <c r="C25" s="107">
        <f>AVERAGE($G$4:$G$11)</f>
        <v>7.8610619792239431E-5</v>
      </c>
      <c r="D25" s="107">
        <f>_xlfn.STDEV.S($G$4:$G$11)</f>
        <v>1.9271283513346272E-5</v>
      </c>
      <c r="E25" s="108">
        <f>COUNT($F$4:$F$11)</f>
        <v>5</v>
      </c>
      <c r="F25" s="34">
        <v>0.05</v>
      </c>
      <c r="G25" s="108">
        <f t="shared" ref="G25:G27" si="4">_xlfn.CONFIDENCE.T(F25,D25,E25)</f>
        <v>2.3928458937699816E-5</v>
      </c>
      <c r="H25" s="107">
        <f>$C25-$G25</f>
        <v>5.4682160854539611E-5</v>
      </c>
      <c r="I25" s="109">
        <f>$C25+$G25</f>
        <v>1.0253907872993925E-4</v>
      </c>
      <c r="K25" s="86"/>
    </row>
    <row r="26" spans="1:11" x14ac:dyDescent="0.35">
      <c r="A26" s="119" t="s">
        <v>47</v>
      </c>
      <c r="B26" s="99" t="s">
        <v>84</v>
      </c>
      <c r="C26" s="100">
        <f>AVERAGE($C$12:$C$20)</f>
        <v>3.7719680841318811E-5</v>
      </c>
      <c r="D26" s="100">
        <f>_xlfn.STDEV.S($C$12:$C$20)</f>
        <v>9.9404399803713887E-6</v>
      </c>
      <c r="E26" s="101">
        <f>COUNT($C$12:$C$20)</f>
        <v>9</v>
      </c>
      <c r="F26" s="83">
        <v>0.05</v>
      </c>
      <c r="G26" s="101">
        <f t="shared" si="4"/>
        <v>7.6408985668284169E-6</v>
      </c>
      <c r="H26" s="100">
        <f>$C26-$G26</f>
        <v>3.0078782274490396E-5</v>
      </c>
      <c r="I26" s="100">
        <f>$C26+$G26</f>
        <v>4.5360579408147227E-5</v>
      </c>
      <c r="K26" s="86"/>
    </row>
    <row r="27" spans="1:11" x14ac:dyDescent="0.35">
      <c r="A27" s="119"/>
      <c r="B27" s="97" t="s">
        <v>85</v>
      </c>
      <c r="C27" s="96">
        <f>AVERAGE($G$12:$G$20)</f>
        <v>4.0942503082682367E-5</v>
      </c>
      <c r="D27" s="96">
        <f>_xlfn.STDEV.S($G$12:$G$20)</f>
        <v>9.559689170077205E-6</v>
      </c>
      <c r="E27" s="59">
        <f>COUNT($G$12:$G$20)</f>
        <v>9</v>
      </c>
      <c r="F27" s="30">
        <v>0.05</v>
      </c>
      <c r="G27" s="59">
        <f t="shared" si="4"/>
        <v>7.3482275858215091E-6</v>
      </c>
      <c r="H27" s="96">
        <f>$C27-$G27</f>
        <v>3.3594275496860856E-5</v>
      </c>
      <c r="I27" s="96">
        <f>$C27+$G27</f>
        <v>4.8290730668503878E-5</v>
      </c>
      <c r="K27" s="86"/>
    </row>
  </sheetData>
  <mergeCells count="4">
    <mergeCell ref="B2:E2"/>
    <mergeCell ref="F2:I2"/>
    <mergeCell ref="A24:A25"/>
    <mergeCell ref="A26:A27"/>
  </mergeCells>
  <conditionalFormatting sqref="D4:D20">
    <cfRule type="expression" dxfId="19" priority="4">
      <formula>D4=TRUE</formula>
    </cfRule>
    <cfRule type="expression" dxfId="18" priority="5">
      <formula>D4=FALSE</formula>
    </cfRule>
  </conditionalFormatting>
  <conditionalFormatting sqref="H4:H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{7F9CA3C3-6064-401E-A3A7-C6A46C490DC6}</x14:id>
        </ext>
      </extLst>
    </cfRule>
  </conditionalFormatting>
  <conditionalFormatting sqref="H4:H20">
    <cfRule type="expression" dxfId="17" priority="1">
      <formula>H4=TRUE</formula>
    </cfRule>
    <cfRule type="expression" dxfId="16" priority="2">
      <formula>H4=FALSE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9CA3C3-6064-401E-A3A7-C6A46C490DC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H4:H20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8D48-7DB4-41CC-81A2-A674F287A59B}">
  <dimension ref="A1:K27"/>
  <sheetViews>
    <sheetView topLeftCell="A6" zoomScale="85" zoomScaleNormal="85" workbookViewId="0">
      <selection activeCell="K24" sqref="K24"/>
    </sheetView>
  </sheetViews>
  <sheetFormatPr baseColWidth="10" defaultRowHeight="14.5" x14ac:dyDescent="0.35"/>
  <cols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9" ht="15" thickBot="1" x14ac:dyDescent="0.4"/>
    <row r="2" spans="1:9" ht="15" thickBot="1" x14ac:dyDescent="0.4">
      <c r="B2" s="116" t="s">
        <v>94</v>
      </c>
      <c r="C2" s="116"/>
      <c r="D2" s="116"/>
      <c r="E2" s="116"/>
      <c r="F2" s="115" t="s">
        <v>95</v>
      </c>
      <c r="G2" s="115"/>
      <c r="H2" s="115"/>
      <c r="I2" s="115"/>
    </row>
    <row r="3" spans="1:9" ht="15" thickBot="1" x14ac:dyDescent="0.4">
      <c r="B3" s="95" t="s">
        <v>72</v>
      </c>
      <c r="C3" s="95" t="s">
        <v>21</v>
      </c>
      <c r="D3" s="95" t="s">
        <v>93</v>
      </c>
      <c r="E3" s="95" t="s">
        <v>20</v>
      </c>
      <c r="F3" s="88" t="s">
        <v>72</v>
      </c>
      <c r="G3" s="80" t="s">
        <v>21</v>
      </c>
      <c r="H3" s="87" t="s">
        <v>93</v>
      </c>
      <c r="I3" s="82" t="s">
        <v>20</v>
      </c>
    </row>
    <row r="4" spans="1:9" x14ac:dyDescent="0.35">
      <c r="A4" s="2" t="s">
        <v>3</v>
      </c>
      <c r="B4" s="38">
        <v>29.945292387472737</v>
      </c>
      <c r="C4" s="32">
        <v>1.2511627081162233E-4</v>
      </c>
      <c r="D4" s="32" t="b">
        <f t="shared" ref="D4:D11" si="0">AND(C4&gt;$H$24,C4&lt;$I$24)</f>
        <v>0</v>
      </c>
      <c r="E4" s="91">
        <v>0.96481676330535215</v>
      </c>
      <c r="F4" s="92">
        <v>28.221973572007339</v>
      </c>
      <c r="G4" s="48">
        <v>1.096614311189997E-4</v>
      </c>
      <c r="H4" s="32" t="b">
        <f t="shared" ref="H4:H11" si="1">AND(G4&gt;M$24,G4&lt;$I$24)</f>
        <v>0</v>
      </c>
      <c r="I4" s="53">
        <v>0.98036865602059475</v>
      </c>
    </row>
    <row r="5" spans="1:9" x14ac:dyDescent="0.35">
      <c r="A5" s="2" t="s">
        <v>1</v>
      </c>
      <c r="B5" s="39">
        <v>37.856582032176171</v>
      </c>
      <c r="C5" s="30">
        <v>6.3852806998087236E-5</v>
      </c>
      <c r="D5" s="30" t="b">
        <f t="shared" si="0"/>
        <v>1</v>
      </c>
      <c r="E5" s="84">
        <v>0.94356973293434765</v>
      </c>
      <c r="F5" s="85">
        <v>38.374506478941953</v>
      </c>
      <c r="G5" s="44">
        <v>8.098563653344848E-5</v>
      </c>
      <c r="H5" s="30" t="b">
        <f t="shared" si="1"/>
        <v>1</v>
      </c>
      <c r="I5" s="54">
        <v>0.97690469081990294</v>
      </c>
    </row>
    <row r="6" spans="1:9" x14ac:dyDescent="0.35">
      <c r="A6" s="2" t="s">
        <v>38</v>
      </c>
      <c r="B6" s="39">
        <v>66.390278847292095</v>
      </c>
      <c r="C6" s="30">
        <v>4.7730595894918843E-5</v>
      </c>
      <c r="D6" s="30" t="b">
        <f t="shared" si="0"/>
        <v>1</v>
      </c>
      <c r="E6" s="84">
        <v>0.97205588725423386</v>
      </c>
      <c r="F6" s="46" t="s">
        <v>67</v>
      </c>
      <c r="G6" s="46" t="s">
        <v>67</v>
      </c>
      <c r="H6" s="30" t="b">
        <f t="shared" si="1"/>
        <v>0</v>
      </c>
      <c r="I6" s="55" t="s">
        <v>67</v>
      </c>
    </row>
    <row r="7" spans="1:9" x14ac:dyDescent="0.35">
      <c r="A7" s="2" t="s">
        <v>40</v>
      </c>
      <c r="B7" s="39">
        <v>66.091562820419725</v>
      </c>
      <c r="C7" s="30">
        <v>5.6021022448983134E-5</v>
      </c>
      <c r="D7" s="30" t="b">
        <f t="shared" si="0"/>
        <v>1</v>
      </c>
      <c r="E7" s="84">
        <v>0.99020134737414112</v>
      </c>
      <c r="F7" s="46" t="s">
        <v>67</v>
      </c>
      <c r="G7" s="46" t="s">
        <v>67</v>
      </c>
      <c r="H7" s="30" t="b">
        <f t="shared" si="1"/>
        <v>0</v>
      </c>
      <c r="I7" s="55" t="s">
        <v>67</v>
      </c>
    </row>
    <row r="8" spans="1:9" x14ac:dyDescent="0.35">
      <c r="A8" s="2" t="s">
        <v>42</v>
      </c>
      <c r="B8" s="39">
        <v>71.269013371249443</v>
      </c>
      <c r="C8" s="30">
        <v>7.4133933245383306E-5</v>
      </c>
      <c r="D8" s="30" t="b">
        <f t="shared" si="0"/>
        <v>1</v>
      </c>
      <c r="E8" s="84">
        <v>0.982564267039999</v>
      </c>
      <c r="F8" s="46" t="s">
        <v>67</v>
      </c>
      <c r="G8" s="46" t="s">
        <v>67</v>
      </c>
      <c r="H8" s="30" t="b">
        <f t="shared" si="1"/>
        <v>0</v>
      </c>
      <c r="I8" s="55" t="s">
        <v>67</v>
      </c>
    </row>
    <row r="9" spans="1:9" x14ac:dyDescent="0.35">
      <c r="A9" s="2" t="s">
        <v>0</v>
      </c>
      <c r="B9" s="39">
        <v>100.70115000433273</v>
      </c>
      <c r="C9" s="30">
        <v>5.1808884099220641E-5</v>
      </c>
      <c r="D9" s="30" t="b">
        <f t="shared" si="0"/>
        <v>1</v>
      </c>
      <c r="E9" s="84">
        <v>0.96818071846171905</v>
      </c>
      <c r="F9" s="85">
        <v>101.10269427308742</v>
      </c>
      <c r="G9" s="44">
        <v>6.2414224599995262E-5</v>
      </c>
      <c r="H9" s="30" t="b">
        <f t="shared" si="1"/>
        <v>1</v>
      </c>
      <c r="I9" s="54">
        <v>0.97593214646583282</v>
      </c>
    </row>
    <row r="10" spans="1:9" x14ac:dyDescent="0.35">
      <c r="A10" s="2" t="s">
        <v>2</v>
      </c>
      <c r="B10" s="39">
        <v>102.62564632162055</v>
      </c>
      <c r="C10" s="30">
        <v>5.5116440726033954E-5</v>
      </c>
      <c r="D10" s="30" t="b">
        <f t="shared" si="0"/>
        <v>1</v>
      </c>
      <c r="E10" s="84">
        <v>0.95641686432953266</v>
      </c>
      <c r="F10" s="85">
        <v>103.05758614231991</v>
      </c>
      <c r="G10" s="44">
        <v>6.2750698436533239E-5</v>
      </c>
      <c r="H10" s="30" t="b">
        <f t="shared" si="1"/>
        <v>1</v>
      </c>
      <c r="I10" s="54">
        <v>0.96836764527549601</v>
      </c>
    </row>
    <row r="11" spans="1:9" ht="15" thickBot="1" x14ac:dyDescent="0.4">
      <c r="A11" s="2" t="s">
        <v>4</v>
      </c>
      <c r="B11" s="62">
        <v>119.95998399474422</v>
      </c>
      <c r="C11" s="63">
        <v>7.0777209093270303E-5</v>
      </c>
      <c r="D11" s="63" t="b">
        <f t="shared" si="0"/>
        <v>1</v>
      </c>
      <c r="E11" s="89">
        <v>0.96961243262428132</v>
      </c>
      <c r="F11" s="90">
        <v>113.08086172524536</v>
      </c>
      <c r="G11" s="67">
        <v>7.7241108272220441E-5</v>
      </c>
      <c r="H11" s="63" t="b">
        <f t="shared" si="1"/>
        <v>1</v>
      </c>
      <c r="I11" s="69">
        <v>0.98828532755622422</v>
      </c>
    </row>
    <row r="12" spans="1:9" x14ac:dyDescent="0.35">
      <c r="A12" s="2" t="s">
        <v>6</v>
      </c>
      <c r="B12" s="38">
        <v>13.956228923426618</v>
      </c>
      <c r="C12" s="32">
        <v>5.7674330015737343E-5</v>
      </c>
      <c r="D12" s="32" t="b">
        <f t="shared" ref="D12:D19" si="2">AND(C12&gt;$H$26,C12&lt;$I$26)</f>
        <v>0</v>
      </c>
      <c r="E12" s="91">
        <v>0.99281551305296867</v>
      </c>
      <c r="F12" s="92">
        <v>12.674402208884107</v>
      </c>
      <c r="G12" s="48">
        <v>5.6703856317507851E-5</v>
      </c>
      <c r="H12" s="32" t="b">
        <f t="shared" ref="H12:H19" si="3">AND(G12&gt;$H$27,G12&lt;$I$27)</f>
        <v>0</v>
      </c>
      <c r="I12" s="53">
        <v>0.96990405976237426</v>
      </c>
    </row>
    <row r="13" spans="1:9" x14ac:dyDescent="0.35">
      <c r="A13" s="2" t="s">
        <v>11</v>
      </c>
      <c r="B13" s="39">
        <v>27.544981764828908</v>
      </c>
      <c r="C13" s="30">
        <v>4.1219297931074816E-5</v>
      </c>
      <c r="D13" s="30" t="b">
        <f t="shared" si="2"/>
        <v>1</v>
      </c>
      <c r="E13" s="84">
        <v>0.99813384438092401</v>
      </c>
      <c r="F13" s="85">
        <v>26.65804982932276</v>
      </c>
      <c r="G13" s="44">
        <v>3.879967755108767E-5</v>
      </c>
      <c r="H13" s="30" t="b">
        <f t="shared" si="3"/>
        <v>1</v>
      </c>
      <c r="I13" s="54">
        <v>0.98915484392462805</v>
      </c>
    </row>
    <row r="14" spans="1:9" x14ac:dyDescent="0.35">
      <c r="A14" s="2" t="s">
        <v>7</v>
      </c>
      <c r="B14" s="39">
        <v>32.54560143810447</v>
      </c>
      <c r="C14" s="30">
        <v>4.2059448563366171E-5</v>
      </c>
      <c r="D14" s="30" t="b">
        <f t="shared" si="2"/>
        <v>1</v>
      </c>
      <c r="E14" s="84">
        <v>0.99834997171188788</v>
      </c>
      <c r="F14" s="85">
        <v>33.587916947277819</v>
      </c>
      <c r="G14" s="44">
        <v>5.0320203487956668E-5</v>
      </c>
      <c r="H14" s="30" t="b">
        <f t="shared" si="3"/>
        <v>0</v>
      </c>
      <c r="I14" s="54">
        <v>0.99018701231249995</v>
      </c>
    </row>
    <row r="15" spans="1:9" x14ac:dyDescent="0.35">
      <c r="A15" s="2" t="s">
        <v>10</v>
      </c>
      <c r="B15" s="39">
        <v>34.092898823423802</v>
      </c>
      <c r="C15" s="30">
        <v>3.0717102366148833E-5</v>
      </c>
      <c r="D15" s="30" t="b">
        <f t="shared" si="2"/>
        <v>0</v>
      </c>
      <c r="E15" s="84">
        <v>0.99780655173412536</v>
      </c>
      <c r="F15" s="85">
        <v>33.152933620137603</v>
      </c>
      <c r="G15" s="44">
        <v>3.6558101409220049E-5</v>
      </c>
      <c r="H15" s="30" t="b">
        <f t="shared" si="3"/>
        <v>1</v>
      </c>
      <c r="I15" s="54">
        <v>0.99789243765666702</v>
      </c>
    </row>
    <row r="16" spans="1:9" x14ac:dyDescent="0.35">
      <c r="A16" s="2" t="s">
        <v>14</v>
      </c>
      <c r="B16" s="39">
        <v>34.615356247234075</v>
      </c>
      <c r="C16" s="30">
        <v>3.5192120890118084E-5</v>
      </c>
      <c r="D16" s="30" t="b">
        <f t="shared" si="2"/>
        <v>1</v>
      </c>
      <c r="E16" s="84">
        <v>0.99898352989154338</v>
      </c>
      <c r="F16" s="85">
        <v>34.608622401670509</v>
      </c>
      <c r="G16" s="44">
        <v>3.8190290373202065E-5</v>
      </c>
      <c r="H16" s="30" t="b">
        <f t="shared" si="3"/>
        <v>1</v>
      </c>
      <c r="I16" s="54">
        <v>0.99835987634350354</v>
      </c>
    </row>
    <row r="17" spans="1:11" x14ac:dyDescent="0.35">
      <c r="A17" s="2" t="s">
        <v>5</v>
      </c>
      <c r="B17" s="39">
        <v>65.315746834734767</v>
      </c>
      <c r="C17" s="30">
        <v>4.0921229647645806E-5</v>
      </c>
      <c r="D17" s="30" t="b">
        <f t="shared" si="2"/>
        <v>1</v>
      </c>
      <c r="E17" s="84">
        <v>0.98483619964986535</v>
      </c>
      <c r="F17" s="85">
        <v>63.912030193660556</v>
      </c>
      <c r="G17" s="44">
        <v>4.6631141111003031E-5</v>
      </c>
      <c r="H17" s="30" t="b">
        <f t="shared" si="3"/>
        <v>1</v>
      </c>
      <c r="I17" s="54">
        <v>0.99166328812138171</v>
      </c>
    </row>
    <row r="18" spans="1:11" x14ac:dyDescent="0.35">
      <c r="A18" s="2" t="s">
        <v>8</v>
      </c>
      <c r="B18" s="39">
        <v>77.076321158351831</v>
      </c>
      <c r="C18" s="30">
        <v>3.8730494115558389E-5</v>
      </c>
      <c r="D18" s="30" t="b">
        <f t="shared" si="2"/>
        <v>1</v>
      </c>
      <c r="E18" s="84">
        <v>0.99787392763392913</v>
      </c>
      <c r="F18" s="85">
        <v>76.222310682405578</v>
      </c>
      <c r="G18" s="44">
        <v>4.3257874337237508E-5</v>
      </c>
      <c r="H18" s="30" t="b">
        <f t="shared" si="3"/>
        <v>1</v>
      </c>
      <c r="I18" s="54">
        <v>0.9984449271651118</v>
      </c>
    </row>
    <row r="19" spans="1:11" x14ac:dyDescent="0.35">
      <c r="A19" s="2" t="s">
        <v>9</v>
      </c>
      <c r="B19" s="39">
        <v>96.733614242897843</v>
      </c>
      <c r="C19" s="30">
        <v>3.1060986871331688E-5</v>
      </c>
      <c r="D19" s="30" t="b">
        <f t="shared" si="2"/>
        <v>0</v>
      </c>
      <c r="E19" s="84">
        <v>0.99164010851572038</v>
      </c>
      <c r="F19" s="85">
        <v>95.126178477612086</v>
      </c>
      <c r="G19" s="44">
        <v>3.3532449159562527E-5</v>
      </c>
      <c r="H19" s="30" t="b">
        <f t="shared" si="3"/>
        <v>0</v>
      </c>
      <c r="I19" s="54">
        <v>0.99931929067403513</v>
      </c>
    </row>
    <row r="23" spans="1:11" ht="15" thickBot="1" x14ac:dyDescent="0.4">
      <c r="C23" s="98" t="s">
        <v>86</v>
      </c>
      <c r="D23" s="98" t="s">
        <v>87</v>
      </c>
      <c r="E23" s="98" t="s">
        <v>89</v>
      </c>
      <c r="F23" s="98" t="s">
        <v>90</v>
      </c>
      <c r="G23" s="98" t="s">
        <v>88</v>
      </c>
      <c r="H23" s="98" t="s">
        <v>91</v>
      </c>
      <c r="I23" s="98" t="s">
        <v>92</v>
      </c>
    </row>
    <row r="24" spans="1:11" x14ac:dyDescent="0.35">
      <c r="A24" s="117" t="s">
        <v>33</v>
      </c>
      <c r="B24" s="102" t="s">
        <v>84</v>
      </c>
      <c r="C24" s="103">
        <f>AVERAGE($C$4:$C$11)</f>
        <v>6.806964541468997E-5</v>
      </c>
      <c r="D24" s="104">
        <f>_xlfn.STDEV.S($C$4:$C$11)</f>
        <v>2.4805672750916909E-5</v>
      </c>
      <c r="E24" s="104">
        <f>COUNT($C$4:$C$11)</f>
        <v>8</v>
      </c>
      <c r="F24" s="32">
        <v>0.05</v>
      </c>
      <c r="G24" s="104">
        <f>_xlfn.CONFIDENCE.T(F24,D24,E24)</f>
        <v>2.0738061394866574E-5</v>
      </c>
      <c r="H24" s="103">
        <f>$C24-$G24</f>
        <v>4.7331584019823399E-5</v>
      </c>
      <c r="I24" s="105">
        <f>$C24+$G24</f>
        <v>8.880770680955654E-5</v>
      </c>
      <c r="K24" s="86"/>
    </row>
    <row r="25" spans="1:11" ht="15" thickBot="1" x14ac:dyDescent="0.4">
      <c r="A25" s="118"/>
      <c r="B25" s="106" t="s">
        <v>85</v>
      </c>
      <c r="C25" s="107">
        <f>AVERAGE($G$4:$G$11)</f>
        <v>7.8610619792239431E-5</v>
      </c>
      <c r="D25" s="107">
        <f>_xlfn.STDEV.S($G$4:$G$11)</f>
        <v>1.9271283513346272E-5</v>
      </c>
      <c r="E25" s="108">
        <f>COUNT($F$4:$F$11)</f>
        <v>5</v>
      </c>
      <c r="F25" s="34">
        <v>0.05</v>
      </c>
      <c r="G25" s="108">
        <f t="shared" ref="G25:G27" si="4">_xlfn.CONFIDENCE.T(F25,D25,E25)</f>
        <v>2.3928458937699816E-5</v>
      </c>
      <c r="H25" s="107">
        <f>$C25-$G25</f>
        <v>5.4682160854539611E-5</v>
      </c>
      <c r="I25" s="109">
        <f>$C25+$G25</f>
        <v>1.0253907872993925E-4</v>
      </c>
      <c r="K25" s="86"/>
    </row>
    <row r="26" spans="1:11" x14ac:dyDescent="0.35">
      <c r="A26" s="119" t="s">
        <v>47</v>
      </c>
      <c r="B26" s="99" t="s">
        <v>84</v>
      </c>
      <c r="C26" s="100">
        <f>AVERAGE($C$12:$C$20)</f>
        <v>3.9696876300122635E-5</v>
      </c>
      <c r="D26" s="100">
        <f>_xlfn.STDEV.S($C$12:$C$20)</f>
        <v>8.5275104431002446E-6</v>
      </c>
      <c r="E26" s="101">
        <f>COUNT($C$12:$C$20)</f>
        <v>8</v>
      </c>
      <c r="F26" s="83">
        <v>0.05</v>
      </c>
      <c r="G26" s="101">
        <f t="shared" si="4"/>
        <v>7.129177139847656E-6</v>
      </c>
      <c r="H26" s="100">
        <f>$C26-$G26</f>
        <v>3.2567699160274978E-5</v>
      </c>
      <c r="I26" s="100">
        <f>$C26+$G26</f>
        <v>4.6826053439970292E-5</v>
      </c>
      <c r="K26" s="86"/>
    </row>
    <row r="27" spans="1:11" x14ac:dyDescent="0.35">
      <c r="A27" s="119"/>
      <c r="B27" s="97" t="s">
        <v>85</v>
      </c>
      <c r="C27" s="96">
        <f>AVERAGE($G$12:$G$20)</f>
        <v>4.2999199218347174E-5</v>
      </c>
      <c r="D27" s="96">
        <f>_xlfn.STDEV.S($G$12:$G$20)</f>
        <v>7.8060537737150369E-6</v>
      </c>
      <c r="E27" s="59">
        <f>COUNT($G$12:$G$20)</f>
        <v>8</v>
      </c>
      <c r="F27" s="30">
        <v>0.05</v>
      </c>
      <c r="G27" s="59">
        <f t="shared" si="4"/>
        <v>6.5260242701923324E-6</v>
      </c>
      <c r="H27" s="96">
        <f>$C27-$G27</f>
        <v>3.6473174948154841E-5</v>
      </c>
      <c r="I27" s="96">
        <f>$C27+$G27</f>
        <v>4.9525223488539508E-5</v>
      </c>
      <c r="K27" s="86"/>
    </row>
  </sheetData>
  <mergeCells count="4">
    <mergeCell ref="B2:E2"/>
    <mergeCell ref="F2:I2"/>
    <mergeCell ref="A24:A25"/>
    <mergeCell ref="A26:A27"/>
  </mergeCells>
  <conditionalFormatting sqref="D4:D19">
    <cfRule type="expression" dxfId="15" priority="4">
      <formula>D4=TRUE</formula>
    </cfRule>
    <cfRule type="expression" dxfId="14" priority="5">
      <formula>D4=FALSE</formula>
    </cfRule>
  </conditionalFormatting>
  <conditionalFormatting sqref="H4:H1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{BFA8D804-12AA-40C8-8949-0C5E28C13A98}</x14:id>
        </ext>
      </extLst>
    </cfRule>
  </conditionalFormatting>
  <conditionalFormatting sqref="H4:H19">
    <cfRule type="expression" dxfId="13" priority="1">
      <formula>H4=TRUE</formula>
    </cfRule>
    <cfRule type="expression" dxfId="12" priority="2">
      <formula>H4=FALSE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A8D804-12AA-40C8-8949-0C5E28C13A9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H4:H19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F07B5-9560-4995-9F2B-14E138955E0A}">
  <dimension ref="A1:K27"/>
  <sheetViews>
    <sheetView zoomScale="85" zoomScaleNormal="85" workbookViewId="0">
      <selection activeCell="A2" sqref="A2:I27"/>
    </sheetView>
  </sheetViews>
  <sheetFormatPr baseColWidth="10" defaultRowHeight="14.5" x14ac:dyDescent="0.35"/>
  <cols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9" ht="15" thickBot="1" x14ac:dyDescent="0.4"/>
    <row r="2" spans="1:9" ht="15" thickBot="1" x14ac:dyDescent="0.4">
      <c r="B2" s="116" t="s">
        <v>74</v>
      </c>
      <c r="C2" s="116"/>
      <c r="D2" s="116"/>
      <c r="E2" s="116"/>
      <c r="F2" s="115" t="s">
        <v>75</v>
      </c>
      <c r="G2" s="115"/>
      <c r="H2" s="115"/>
      <c r="I2" s="115"/>
    </row>
    <row r="3" spans="1:9" ht="15" thickBot="1" x14ac:dyDescent="0.4">
      <c r="B3" s="95" t="s">
        <v>72</v>
      </c>
      <c r="C3" s="95" t="s">
        <v>21</v>
      </c>
      <c r="D3" s="95" t="s">
        <v>93</v>
      </c>
      <c r="E3" s="95" t="s">
        <v>20</v>
      </c>
      <c r="F3" s="88" t="s">
        <v>72</v>
      </c>
      <c r="G3" s="80" t="s">
        <v>21</v>
      </c>
      <c r="H3" s="87" t="s">
        <v>93</v>
      </c>
      <c r="I3" s="82" t="s">
        <v>20</v>
      </c>
    </row>
    <row r="4" spans="1:9" x14ac:dyDescent="0.35">
      <c r="A4" s="2" t="s">
        <v>3</v>
      </c>
      <c r="B4" s="38">
        <v>29.945292387472737</v>
      </c>
      <c r="C4" s="32">
        <v>1.2511627081162233E-4</v>
      </c>
      <c r="D4" s="32" t="b">
        <f t="shared" ref="D4:D11" si="0">AND(C4&gt;$H$24,C4&lt;$I$24)</f>
        <v>0</v>
      </c>
      <c r="E4" s="91">
        <v>0.96481676330535215</v>
      </c>
      <c r="F4" s="92">
        <v>28.221973572007339</v>
      </c>
      <c r="G4" s="48">
        <v>1.096614311189997E-4</v>
      </c>
      <c r="H4" s="32" t="b">
        <f t="shared" ref="H4:H11" si="1">AND(G4&gt;M$24,G4&lt;$I$24)</f>
        <v>0</v>
      </c>
      <c r="I4" s="53">
        <v>0.98036865602059475</v>
      </c>
    </row>
    <row r="5" spans="1:9" x14ac:dyDescent="0.35">
      <c r="A5" s="2" t="s">
        <v>1</v>
      </c>
      <c r="B5" s="39">
        <v>37.856582032176171</v>
      </c>
      <c r="C5" s="30">
        <v>6.3852806998087236E-5</v>
      </c>
      <c r="D5" s="30" t="b">
        <f t="shared" si="0"/>
        <v>1</v>
      </c>
      <c r="E5" s="84">
        <v>0.94356973293434765</v>
      </c>
      <c r="F5" s="85">
        <v>38.374506478941953</v>
      </c>
      <c r="G5" s="44">
        <v>8.098563653344848E-5</v>
      </c>
      <c r="H5" s="30" t="b">
        <f t="shared" si="1"/>
        <v>1</v>
      </c>
      <c r="I5" s="54">
        <v>0.97690469081990294</v>
      </c>
    </row>
    <row r="6" spans="1:9" x14ac:dyDescent="0.35">
      <c r="A6" s="2" t="s">
        <v>38</v>
      </c>
      <c r="B6" s="39">
        <v>66.390278847292095</v>
      </c>
      <c r="C6" s="30">
        <v>4.7730595894918843E-5</v>
      </c>
      <c r="D6" s="30" t="b">
        <f t="shared" si="0"/>
        <v>1</v>
      </c>
      <c r="E6" s="84">
        <v>0.97205588725423386</v>
      </c>
      <c r="F6" s="46" t="s">
        <v>67</v>
      </c>
      <c r="G6" s="46" t="s">
        <v>67</v>
      </c>
      <c r="H6" s="30" t="b">
        <f t="shared" si="1"/>
        <v>0</v>
      </c>
      <c r="I6" s="55" t="s">
        <v>67</v>
      </c>
    </row>
    <row r="7" spans="1:9" x14ac:dyDescent="0.35">
      <c r="A7" s="2" t="s">
        <v>40</v>
      </c>
      <c r="B7" s="39">
        <v>66.091562820419725</v>
      </c>
      <c r="C7" s="30">
        <v>5.6021022448983134E-5</v>
      </c>
      <c r="D7" s="30" t="b">
        <f t="shared" si="0"/>
        <v>1</v>
      </c>
      <c r="E7" s="84">
        <v>0.99020134737414112</v>
      </c>
      <c r="F7" s="46" t="s">
        <v>67</v>
      </c>
      <c r="G7" s="46" t="s">
        <v>67</v>
      </c>
      <c r="H7" s="30" t="b">
        <f t="shared" si="1"/>
        <v>0</v>
      </c>
      <c r="I7" s="55" t="s">
        <v>67</v>
      </c>
    </row>
    <row r="8" spans="1:9" x14ac:dyDescent="0.35">
      <c r="A8" s="2" t="s">
        <v>42</v>
      </c>
      <c r="B8" s="39">
        <v>71.269013371249443</v>
      </c>
      <c r="C8" s="30">
        <v>7.4133933245383306E-5</v>
      </c>
      <c r="D8" s="30" t="b">
        <f t="shared" si="0"/>
        <v>1</v>
      </c>
      <c r="E8" s="84">
        <v>0.982564267039999</v>
      </c>
      <c r="F8" s="46" t="s">
        <v>67</v>
      </c>
      <c r="G8" s="46" t="s">
        <v>67</v>
      </c>
      <c r="H8" s="30" t="b">
        <f t="shared" si="1"/>
        <v>0</v>
      </c>
      <c r="I8" s="55" t="s">
        <v>67</v>
      </c>
    </row>
    <row r="9" spans="1:9" x14ac:dyDescent="0.35">
      <c r="A9" s="2" t="s">
        <v>0</v>
      </c>
      <c r="B9" s="39">
        <v>100.70115000433273</v>
      </c>
      <c r="C9" s="30">
        <v>5.1808884099220641E-5</v>
      </c>
      <c r="D9" s="30" t="b">
        <f t="shared" si="0"/>
        <v>1</v>
      </c>
      <c r="E9" s="84">
        <v>0.96818071846171905</v>
      </c>
      <c r="F9" s="85">
        <v>101.10269427308742</v>
      </c>
      <c r="G9" s="44">
        <v>6.2414224599995262E-5</v>
      </c>
      <c r="H9" s="30" t="b">
        <f t="shared" si="1"/>
        <v>1</v>
      </c>
      <c r="I9" s="54">
        <v>0.97593214646583282</v>
      </c>
    </row>
    <row r="10" spans="1:9" x14ac:dyDescent="0.35">
      <c r="A10" s="2" t="s">
        <v>2</v>
      </c>
      <c r="B10" s="39">
        <v>102.62564632162055</v>
      </c>
      <c r="C10" s="30">
        <v>5.5116440726033954E-5</v>
      </c>
      <c r="D10" s="30" t="b">
        <f t="shared" si="0"/>
        <v>1</v>
      </c>
      <c r="E10" s="84">
        <v>0.95641686432953266</v>
      </c>
      <c r="F10" s="85">
        <v>103.05758614231991</v>
      </c>
      <c r="G10" s="44">
        <v>6.2750698436533239E-5</v>
      </c>
      <c r="H10" s="30" t="b">
        <f t="shared" si="1"/>
        <v>1</v>
      </c>
      <c r="I10" s="54">
        <v>0.96836764527549601</v>
      </c>
    </row>
    <row r="11" spans="1:9" ht="15" thickBot="1" x14ac:dyDescent="0.4">
      <c r="A11" s="2" t="s">
        <v>4</v>
      </c>
      <c r="B11" s="62">
        <v>119.95998399474422</v>
      </c>
      <c r="C11" s="63">
        <v>7.0777209093270303E-5</v>
      </c>
      <c r="D11" s="63" t="b">
        <f t="shared" si="0"/>
        <v>1</v>
      </c>
      <c r="E11" s="89">
        <v>0.96961243262428132</v>
      </c>
      <c r="F11" s="90">
        <v>113.08086172524536</v>
      </c>
      <c r="G11" s="67">
        <v>7.7241108272220441E-5</v>
      </c>
      <c r="H11" s="63" t="b">
        <f t="shared" si="1"/>
        <v>1</v>
      </c>
      <c r="I11" s="69">
        <v>0.98828532755622422</v>
      </c>
    </row>
    <row r="12" spans="1:9" x14ac:dyDescent="0.35">
      <c r="A12" s="2" t="s">
        <v>6</v>
      </c>
      <c r="B12" s="38">
        <v>13.956228923426618</v>
      </c>
      <c r="C12" s="32">
        <v>5.7674330015737343E-5</v>
      </c>
      <c r="D12" s="32" t="b">
        <f t="shared" ref="D12:D20" si="2">AND(C12&gt;$H$26,C12&lt;$I$26)</f>
        <v>0</v>
      </c>
      <c r="E12" s="91">
        <v>0.99281551305296867</v>
      </c>
      <c r="F12" s="92">
        <v>12.674402208884107</v>
      </c>
      <c r="G12" s="48">
        <v>5.6703856317507851E-5</v>
      </c>
      <c r="H12" s="32" t="b">
        <f t="shared" ref="H12:H20" si="3">AND(G12&gt;$H$27,G12&lt;$I$27)</f>
        <v>0</v>
      </c>
      <c r="I12" s="53">
        <v>0.96990405976237426</v>
      </c>
    </row>
    <row r="13" spans="1:9" x14ac:dyDescent="0.35">
      <c r="A13" s="2" t="s">
        <v>11</v>
      </c>
      <c r="B13" s="39">
        <v>27.544981764828908</v>
      </c>
      <c r="C13" s="30">
        <v>4.1219297931074816E-5</v>
      </c>
      <c r="D13" s="30" t="b">
        <f t="shared" si="2"/>
        <v>1</v>
      </c>
      <c r="E13" s="84">
        <v>0.99813384438092401</v>
      </c>
      <c r="F13" s="85">
        <v>26.65804982932276</v>
      </c>
      <c r="G13" s="44">
        <v>3.879967755108767E-5</v>
      </c>
      <c r="H13" s="30" t="b">
        <f t="shared" si="3"/>
        <v>1</v>
      </c>
      <c r="I13" s="54">
        <v>0.98915484392462805</v>
      </c>
    </row>
    <row r="14" spans="1:9" x14ac:dyDescent="0.35">
      <c r="A14" s="2" t="s">
        <v>7</v>
      </c>
      <c r="B14" s="39">
        <v>32.54560143810447</v>
      </c>
      <c r="C14" s="30">
        <v>4.2059448563366171E-5</v>
      </c>
      <c r="D14" s="30" t="b">
        <f t="shared" si="2"/>
        <v>1</v>
      </c>
      <c r="E14" s="84">
        <v>0.99834997171188788</v>
      </c>
      <c r="F14" s="85">
        <v>33.587916947277819</v>
      </c>
      <c r="G14" s="44">
        <v>5.0320203487956668E-5</v>
      </c>
      <c r="H14" s="30" t="b">
        <f t="shared" si="3"/>
        <v>1</v>
      </c>
      <c r="I14" s="54">
        <v>0.99018701231249995</v>
      </c>
    </row>
    <row r="15" spans="1:9" x14ac:dyDescent="0.35">
      <c r="A15" s="2" t="s">
        <v>10</v>
      </c>
      <c r="B15" s="39">
        <v>34.092898823423802</v>
      </c>
      <c r="C15" s="30">
        <v>3.0717102366148833E-5</v>
      </c>
      <c r="D15" s="30" t="b">
        <f t="shared" si="2"/>
        <v>1</v>
      </c>
      <c r="E15" s="84">
        <v>0.99780655173412536</v>
      </c>
      <c r="F15" s="85">
        <v>33.152933620137603</v>
      </c>
      <c r="G15" s="44">
        <v>3.6558101409220049E-5</v>
      </c>
      <c r="H15" s="30" t="b">
        <f t="shared" si="3"/>
        <v>1</v>
      </c>
      <c r="I15" s="54">
        <v>0.99789243765666702</v>
      </c>
    </row>
    <row r="16" spans="1:9" x14ac:dyDescent="0.35">
      <c r="A16" s="2" t="s">
        <v>14</v>
      </c>
      <c r="B16" s="39">
        <v>34.615356247234075</v>
      </c>
      <c r="C16" s="30">
        <v>3.5192120890118084E-5</v>
      </c>
      <c r="D16" s="30" t="b">
        <f t="shared" si="2"/>
        <v>1</v>
      </c>
      <c r="E16" s="84">
        <v>0.99898352989154338</v>
      </c>
      <c r="F16" s="85">
        <v>34.608622401670509</v>
      </c>
      <c r="G16" s="44">
        <v>3.8190290373202065E-5</v>
      </c>
      <c r="H16" s="30" t="b">
        <f t="shared" si="3"/>
        <v>1</v>
      </c>
      <c r="I16" s="54">
        <v>0.99835987634350354</v>
      </c>
    </row>
    <row r="17" spans="1:11" x14ac:dyDescent="0.35">
      <c r="A17" s="2" t="s">
        <v>5</v>
      </c>
      <c r="B17" s="39">
        <v>65.315746834734767</v>
      </c>
      <c r="C17" s="30">
        <v>4.0921229647645806E-5</v>
      </c>
      <c r="D17" s="30" t="b">
        <f t="shared" si="2"/>
        <v>1</v>
      </c>
      <c r="E17" s="84">
        <v>0.98483619964986535</v>
      </c>
      <c r="F17" s="85">
        <v>63.912030193660556</v>
      </c>
      <c r="G17" s="44">
        <v>4.6631141111003031E-5</v>
      </c>
      <c r="H17" s="30" t="b">
        <f t="shared" si="3"/>
        <v>1</v>
      </c>
      <c r="I17" s="54">
        <v>0.99166328812138171</v>
      </c>
    </row>
    <row r="18" spans="1:11" x14ac:dyDescent="0.35">
      <c r="A18" s="2" t="s">
        <v>8</v>
      </c>
      <c r="B18" s="39">
        <v>77.076321158351831</v>
      </c>
      <c r="C18" s="30">
        <v>3.8730494115558389E-5</v>
      </c>
      <c r="D18" s="30" t="b">
        <f t="shared" si="2"/>
        <v>1</v>
      </c>
      <c r="E18" s="84">
        <v>0.99787392763392913</v>
      </c>
      <c r="F18" s="85">
        <v>76.222310682405578</v>
      </c>
      <c r="G18" s="44">
        <v>4.3257874337237508E-5</v>
      </c>
      <c r="H18" s="30" t="b">
        <f t="shared" si="3"/>
        <v>1</v>
      </c>
      <c r="I18" s="54">
        <v>0.9984449271651118</v>
      </c>
    </row>
    <row r="19" spans="1:11" x14ac:dyDescent="0.35">
      <c r="A19" s="2" t="s">
        <v>9</v>
      </c>
      <c r="B19" s="39">
        <v>96.733614242897843</v>
      </c>
      <c r="C19" s="30">
        <v>3.1060986871331688E-5</v>
      </c>
      <c r="D19" s="30" t="b">
        <f t="shared" si="2"/>
        <v>1</v>
      </c>
      <c r="E19" s="84">
        <v>0.99164010851572038</v>
      </c>
      <c r="F19" s="85">
        <v>95.126178477612086</v>
      </c>
      <c r="G19" s="44">
        <v>3.3532449159562527E-5</v>
      </c>
      <c r="H19" s="30" t="b">
        <f t="shared" si="3"/>
        <v>1</v>
      </c>
      <c r="I19" s="54">
        <v>0.99931929067403513</v>
      </c>
    </row>
    <row r="20" spans="1:11" ht="15" thickBot="1" x14ac:dyDescent="0.4">
      <c r="A20" s="2" t="s">
        <v>15</v>
      </c>
      <c r="B20" s="40">
        <v>96.739428122779699</v>
      </c>
      <c r="C20" s="34">
        <v>2.1902117170888224E-5</v>
      </c>
      <c r="D20" s="34" t="b">
        <f t="shared" si="2"/>
        <v>0</v>
      </c>
      <c r="E20" s="93">
        <v>0.99299058272004259</v>
      </c>
      <c r="F20" s="94">
        <v>96.216485180628922</v>
      </c>
      <c r="G20" s="52">
        <v>2.44889339973639E-5</v>
      </c>
      <c r="H20" s="34" t="b">
        <f t="shared" si="3"/>
        <v>0</v>
      </c>
      <c r="I20" s="56">
        <v>0.99391011715076949</v>
      </c>
    </row>
    <row r="21" spans="1:11" x14ac:dyDescent="0.35">
      <c r="C21" s="110">
        <f>C19/C20</f>
        <v>1.4181728016968704</v>
      </c>
    </row>
    <row r="23" spans="1:11" ht="15" thickBot="1" x14ac:dyDescent="0.4">
      <c r="C23" s="98" t="s">
        <v>86</v>
      </c>
      <c r="D23" s="98" t="s">
        <v>87</v>
      </c>
      <c r="E23" s="98" t="s">
        <v>89</v>
      </c>
      <c r="F23" s="98" t="s">
        <v>90</v>
      </c>
      <c r="G23" s="98" t="s">
        <v>88</v>
      </c>
      <c r="H23" s="98" t="s">
        <v>91</v>
      </c>
      <c r="I23" s="98" t="s">
        <v>92</v>
      </c>
    </row>
    <row r="24" spans="1:11" x14ac:dyDescent="0.35">
      <c r="A24" s="117" t="s">
        <v>33</v>
      </c>
      <c r="B24" s="102" t="s">
        <v>84</v>
      </c>
      <c r="C24" s="103">
        <f>AVERAGE($C$4:$C$11)</f>
        <v>6.806964541468997E-5</v>
      </c>
      <c r="D24" s="104">
        <f>_xlfn.STDEV.S($C$4:$C$11)</f>
        <v>2.4805672750916909E-5</v>
      </c>
      <c r="E24" s="104">
        <f>COUNT($C$4:$C$11)</f>
        <v>8</v>
      </c>
      <c r="F24" s="32">
        <v>0.01</v>
      </c>
      <c r="G24" s="104">
        <f>_xlfn.CONFIDENCE.T(F24,D24,E24)</f>
        <v>3.0690922425362356E-5</v>
      </c>
      <c r="H24" s="103">
        <f>$C24-$G24</f>
        <v>3.7378722989327613E-5</v>
      </c>
      <c r="I24" s="105">
        <f>$C24+$G24</f>
        <v>9.8760567840052333E-5</v>
      </c>
      <c r="K24" s="86"/>
    </row>
    <row r="25" spans="1:11" ht="15" thickBot="1" x14ac:dyDescent="0.4">
      <c r="A25" s="118"/>
      <c r="B25" s="106" t="s">
        <v>85</v>
      </c>
      <c r="C25" s="107">
        <f>AVERAGE($G$4:$G$11)</f>
        <v>7.8610619792239431E-5</v>
      </c>
      <c r="D25" s="107">
        <f>_xlfn.STDEV.S($G$4:$G$11)</f>
        <v>1.9271283513346272E-5</v>
      </c>
      <c r="E25" s="108">
        <f>COUNT($F$4:$F$11)</f>
        <v>5</v>
      </c>
      <c r="F25" s="34">
        <v>0.01</v>
      </c>
      <c r="G25" s="108">
        <f t="shared" ref="G25:G27" si="4">_xlfn.CONFIDENCE.T(F25,D25,E25)</f>
        <v>3.9679839110856188E-5</v>
      </c>
      <c r="H25" s="107">
        <f>$C25-$G25</f>
        <v>3.8930780681383242E-5</v>
      </c>
      <c r="I25" s="109">
        <f>$C25+$G25</f>
        <v>1.1829045890309563E-4</v>
      </c>
      <c r="K25" s="86"/>
    </row>
    <row r="26" spans="1:11" x14ac:dyDescent="0.35">
      <c r="A26" s="119" t="s">
        <v>47</v>
      </c>
      <c r="B26" s="99" t="s">
        <v>84</v>
      </c>
      <c r="C26" s="100">
        <f>AVERAGE($C$12:$C$20)</f>
        <v>3.7719680841318811E-5</v>
      </c>
      <c r="D26" s="100">
        <f>_xlfn.STDEV.S($C$12:$C$20)</f>
        <v>9.9404399803713887E-6</v>
      </c>
      <c r="E26" s="101">
        <f>COUNT($C$12:$C$20)</f>
        <v>9</v>
      </c>
      <c r="F26" s="32">
        <v>0.01</v>
      </c>
      <c r="G26" s="101">
        <f t="shared" si="4"/>
        <v>1.1118008792672713E-5</v>
      </c>
      <c r="H26" s="100">
        <f>$C26-$G26</f>
        <v>2.6601672048646098E-5</v>
      </c>
      <c r="I26" s="100">
        <f>$C26+$G26</f>
        <v>4.8837689633991521E-5</v>
      </c>
      <c r="K26" s="86"/>
    </row>
    <row r="27" spans="1:11" ht="15" thickBot="1" x14ac:dyDescent="0.4">
      <c r="A27" s="119"/>
      <c r="B27" s="97" t="s">
        <v>85</v>
      </c>
      <c r="C27" s="96">
        <f>AVERAGE($G$12:$G$20)</f>
        <v>4.0942503082682367E-5</v>
      </c>
      <c r="D27" s="96">
        <f>_xlfn.STDEV.S($G$12:$G$20)</f>
        <v>9.559689170077205E-6</v>
      </c>
      <c r="E27" s="59">
        <f>COUNT($G$12:$G$20)</f>
        <v>9</v>
      </c>
      <c r="F27" s="34">
        <v>0.01</v>
      </c>
      <c r="G27" s="59">
        <f t="shared" si="4"/>
        <v>1.0692153310920705E-5</v>
      </c>
      <c r="H27" s="96">
        <f>$C27-$G27</f>
        <v>3.0250349771761661E-5</v>
      </c>
      <c r="I27" s="96">
        <f>$C27+$G27</f>
        <v>5.1634656393603073E-5</v>
      </c>
      <c r="K27" s="86"/>
    </row>
  </sheetData>
  <mergeCells count="4">
    <mergeCell ref="B2:E2"/>
    <mergeCell ref="F2:I2"/>
    <mergeCell ref="A24:A25"/>
    <mergeCell ref="A26:A27"/>
  </mergeCells>
  <conditionalFormatting sqref="D4:D20">
    <cfRule type="expression" dxfId="11" priority="4">
      <formula>D4=TRUE</formula>
    </cfRule>
    <cfRule type="expression" dxfId="10" priority="5">
      <formula>D4=FALSE</formula>
    </cfRule>
  </conditionalFormatting>
  <conditionalFormatting sqref="H4:H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{19DE5ADA-BFD1-4CB8-8F11-EB89851B2A02}</x14:id>
        </ext>
      </extLst>
    </cfRule>
  </conditionalFormatting>
  <conditionalFormatting sqref="H4:H20">
    <cfRule type="expression" dxfId="9" priority="1">
      <formula>H4=TRUE</formula>
    </cfRule>
    <cfRule type="expression" dxfId="8" priority="2">
      <formula>H4=FALSE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DE5ADA-BFD1-4CB8-8F11-EB89851B2A0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H4:H20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EB8A-6046-4705-B6DB-943E070DF2B7}">
  <dimension ref="A1:K27"/>
  <sheetViews>
    <sheetView topLeftCell="A6" zoomScale="85" zoomScaleNormal="85" workbookViewId="0">
      <selection activeCell="J23" sqref="J23"/>
    </sheetView>
  </sheetViews>
  <sheetFormatPr baseColWidth="10" defaultRowHeight="14.5" x14ac:dyDescent="0.35"/>
  <cols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9" ht="15" thickBot="1" x14ac:dyDescent="0.4"/>
    <row r="2" spans="1:9" ht="15" thickBot="1" x14ac:dyDescent="0.4">
      <c r="B2" s="116" t="s">
        <v>96</v>
      </c>
      <c r="C2" s="116"/>
      <c r="D2" s="116"/>
      <c r="E2" s="116"/>
      <c r="F2" s="115" t="s">
        <v>97</v>
      </c>
      <c r="G2" s="115"/>
      <c r="H2" s="115"/>
      <c r="I2" s="115"/>
    </row>
    <row r="3" spans="1:9" ht="15" thickBot="1" x14ac:dyDescent="0.4">
      <c r="B3" s="95" t="s">
        <v>72</v>
      </c>
      <c r="C3" s="95" t="s">
        <v>68</v>
      </c>
      <c r="D3" s="95" t="s">
        <v>93</v>
      </c>
      <c r="E3" s="95" t="s">
        <v>20</v>
      </c>
      <c r="F3" s="88" t="s">
        <v>72</v>
      </c>
      <c r="G3" s="80" t="s">
        <v>68</v>
      </c>
      <c r="H3" s="87" t="s">
        <v>93</v>
      </c>
      <c r="I3" s="82" t="s">
        <v>20</v>
      </c>
    </row>
    <row r="4" spans="1:9" x14ac:dyDescent="0.35">
      <c r="A4" s="2" t="s">
        <v>3</v>
      </c>
      <c r="B4" s="38">
        <v>29.945292387472737</v>
      </c>
      <c r="C4" s="32">
        <v>1.2511627081162233E-4</v>
      </c>
      <c r="D4" s="32" t="b">
        <f t="shared" ref="D4:D11" si="0">AND(C4&gt;$H$24,C4&lt;$I$24)</f>
        <v>0</v>
      </c>
      <c r="E4" s="91">
        <v>0.96481676330535215</v>
      </c>
      <c r="F4" s="92">
        <v>28.221973572007339</v>
      </c>
      <c r="G4" s="48">
        <v>1.096614311189997E-4</v>
      </c>
      <c r="H4" s="111" t="b">
        <f t="shared" ref="H4:H11" si="1">AND(G4&gt;M$24,G4&lt;$I$24)</f>
        <v>0</v>
      </c>
      <c r="I4" s="53">
        <v>0.98036865602059475</v>
      </c>
    </row>
    <row r="5" spans="1:9" x14ac:dyDescent="0.35">
      <c r="A5" s="2" t="s">
        <v>1</v>
      </c>
      <c r="B5" s="39">
        <v>37.856582032176171</v>
      </c>
      <c r="C5" s="30">
        <v>6.3852806998087236E-5</v>
      </c>
      <c r="D5" s="30" t="b">
        <f t="shared" si="0"/>
        <v>1</v>
      </c>
      <c r="E5" s="84">
        <v>0.94356973293434765</v>
      </c>
      <c r="F5" s="85">
        <v>38.374506478941953</v>
      </c>
      <c r="G5" s="44">
        <v>8.098563653344848E-5</v>
      </c>
      <c r="H5" s="112" t="b">
        <f t="shared" si="1"/>
        <v>1</v>
      </c>
      <c r="I5" s="54">
        <v>0.97690469081990294</v>
      </c>
    </row>
    <row r="6" spans="1:9" x14ac:dyDescent="0.35">
      <c r="A6" s="2" t="s">
        <v>38</v>
      </c>
      <c r="B6" s="39">
        <v>66.390278847292095</v>
      </c>
      <c r="C6" s="30">
        <v>4.7730595894918843E-5</v>
      </c>
      <c r="D6" s="30" t="b">
        <f t="shared" si="0"/>
        <v>1</v>
      </c>
      <c r="E6" s="84">
        <v>0.97205588725423386</v>
      </c>
      <c r="F6" s="46" t="s">
        <v>67</v>
      </c>
      <c r="G6" s="46" t="s">
        <v>67</v>
      </c>
      <c r="H6" s="113" t="s">
        <v>67</v>
      </c>
      <c r="I6" s="55" t="s">
        <v>67</v>
      </c>
    </row>
    <row r="7" spans="1:9" x14ac:dyDescent="0.35">
      <c r="A7" s="2" t="s">
        <v>40</v>
      </c>
      <c r="B7" s="39">
        <v>66.091562820419725</v>
      </c>
      <c r="C7" s="30">
        <v>5.6021022448983134E-5</v>
      </c>
      <c r="D7" s="30" t="b">
        <f t="shared" si="0"/>
        <v>1</v>
      </c>
      <c r="E7" s="84">
        <v>0.99020134737414112</v>
      </c>
      <c r="F7" s="46" t="s">
        <v>67</v>
      </c>
      <c r="G7" s="46" t="s">
        <v>67</v>
      </c>
      <c r="H7" s="113" t="s">
        <v>67</v>
      </c>
      <c r="I7" s="55" t="s">
        <v>67</v>
      </c>
    </row>
    <row r="8" spans="1:9" x14ac:dyDescent="0.35">
      <c r="A8" s="2" t="s">
        <v>42</v>
      </c>
      <c r="B8" s="39">
        <v>71.269013371249443</v>
      </c>
      <c r="C8" s="30">
        <v>7.4133933245383306E-5</v>
      </c>
      <c r="D8" s="30" t="b">
        <f t="shared" si="0"/>
        <v>1</v>
      </c>
      <c r="E8" s="84">
        <v>0.982564267039999</v>
      </c>
      <c r="F8" s="46" t="s">
        <v>67</v>
      </c>
      <c r="G8" s="46" t="s">
        <v>67</v>
      </c>
      <c r="H8" s="113" t="s">
        <v>67</v>
      </c>
      <c r="I8" s="55" t="s">
        <v>67</v>
      </c>
    </row>
    <row r="9" spans="1:9" x14ac:dyDescent="0.35">
      <c r="A9" s="2" t="s">
        <v>0</v>
      </c>
      <c r="B9" s="39">
        <v>100.70115000433273</v>
      </c>
      <c r="C9" s="30">
        <v>5.1808884099220641E-5</v>
      </c>
      <c r="D9" s="30" t="b">
        <f t="shared" si="0"/>
        <v>1</v>
      </c>
      <c r="E9" s="84">
        <v>0.96818071846171905</v>
      </c>
      <c r="F9" s="85">
        <v>101.10269427308742</v>
      </c>
      <c r="G9" s="44">
        <v>6.2414224599995262E-5</v>
      </c>
      <c r="H9" s="112" t="b">
        <f t="shared" si="1"/>
        <v>1</v>
      </c>
      <c r="I9" s="54">
        <v>0.97593214646583282</v>
      </c>
    </row>
    <row r="10" spans="1:9" x14ac:dyDescent="0.35">
      <c r="A10" s="2" t="s">
        <v>2</v>
      </c>
      <c r="B10" s="39">
        <v>102.62564632162055</v>
      </c>
      <c r="C10" s="30">
        <v>5.5116440726033954E-5</v>
      </c>
      <c r="D10" s="30" t="b">
        <f t="shared" si="0"/>
        <v>1</v>
      </c>
      <c r="E10" s="84">
        <v>0.95641686432953266</v>
      </c>
      <c r="F10" s="85">
        <v>103.05758614231991</v>
      </c>
      <c r="G10" s="44">
        <v>6.2750698436533239E-5</v>
      </c>
      <c r="H10" s="112" t="b">
        <f t="shared" si="1"/>
        <v>1</v>
      </c>
      <c r="I10" s="54">
        <v>0.96836764527549601</v>
      </c>
    </row>
    <row r="11" spans="1:9" ht="15" thickBot="1" x14ac:dyDescent="0.4">
      <c r="A11" s="2" t="s">
        <v>4</v>
      </c>
      <c r="B11" s="62">
        <v>119.95998399474422</v>
      </c>
      <c r="C11" s="63">
        <v>7.0777209093270303E-5</v>
      </c>
      <c r="D11" s="63" t="b">
        <f t="shared" si="0"/>
        <v>1</v>
      </c>
      <c r="E11" s="89">
        <v>0.96961243262428132</v>
      </c>
      <c r="F11" s="90">
        <v>113.08086172524536</v>
      </c>
      <c r="G11" s="67">
        <v>7.7241108272220441E-5</v>
      </c>
      <c r="H11" s="114" t="b">
        <f t="shared" si="1"/>
        <v>1</v>
      </c>
      <c r="I11" s="69">
        <v>0.98828532755622422</v>
      </c>
    </row>
    <row r="12" spans="1:9" x14ac:dyDescent="0.35">
      <c r="A12" s="2" t="s">
        <v>6</v>
      </c>
      <c r="B12" s="38">
        <v>13.956228923426618</v>
      </c>
      <c r="C12" s="32">
        <v>5.7674330015737343E-5</v>
      </c>
      <c r="D12" s="32" t="b">
        <f t="shared" ref="D12:D19" si="2">AND(C12&gt;$H$26,C12&lt;$I$26)</f>
        <v>0</v>
      </c>
      <c r="E12" s="91">
        <v>0.99281551305296867</v>
      </c>
      <c r="F12" s="92">
        <v>12.674402208884107</v>
      </c>
      <c r="G12" s="48">
        <v>5.6703856317507851E-5</v>
      </c>
      <c r="H12" s="111" t="b">
        <f t="shared" ref="H12:H19" si="3">AND(G12&gt;$H$27,G12&lt;$I$27)</f>
        <v>0</v>
      </c>
      <c r="I12" s="53">
        <v>0.96990405976237426</v>
      </c>
    </row>
    <row r="13" spans="1:9" x14ac:dyDescent="0.35">
      <c r="A13" s="2" t="s">
        <v>11</v>
      </c>
      <c r="B13" s="39">
        <v>27.544981764828908</v>
      </c>
      <c r="C13" s="30">
        <v>4.1219297931074816E-5</v>
      </c>
      <c r="D13" s="30" t="b">
        <f t="shared" si="2"/>
        <v>1</v>
      </c>
      <c r="E13" s="84">
        <v>0.99813384438092401</v>
      </c>
      <c r="F13" s="85">
        <v>26.65804982932276</v>
      </c>
      <c r="G13" s="44">
        <v>3.879967755108767E-5</v>
      </c>
      <c r="H13" s="112" t="b">
        <f t="shared" si="3"/>
        <v>1</v>
      </c>
      <c r="I13" s="54">
        <v>0.98915484392462805</v>
      </c>
    </row>
    <row r="14" spans="1:9" x14ac:dyDescent="0.35">
      <c r="A14" s="2" t="s">
        <v>7</v>
      </c>
      <c r="B14" s="39">
        <v>32.54560143810447</v>
      </c>
      <c r="C14" s="30">
        <v>4.2059448563366171E-5</v>
      </c>
      <c r="D14" s="30" t="b">
        <f t="shared" si="2"/>
        <v>1</v>
      </c>
      <c r="E14" s="84">
        <v>0.99834997171188788</v>
      </c>
      <c r="F14" s="85">
        <v>33.587916947277819</v>
      </c>
      <c r="G14" s="44">
        <v>5.0320203487956668E-5</v>
      </c>
      <c r="H14" s="112" t="b">
        <f t="shared" si="3"/>
        <v>1</v>
      </c>
      <c r="I14" s="54">
        <v>0.99018701231249995</v>
      </c>
    </row>
    <row r="15" spans="1:9" x14ac:dyDescent="0.35">
      <c r="A15" s="2" t="s">
        <v>10</v>
      </c>
      <c r="B15" s="39">
        <v>34.092898823423802</v>
      </c>
      <c r="C15" s="30">
        <v>3.0717102366148833E-5</v>
      </c>
      <c r="D15" s="30" t="b">
        <f t="shared" si="2"/>
        <v>1</v>
      </c>
      <c r="E15" s="84">
        <v>0.99780655173412536</v>
      </c>
      <c r="F15" s="85">
        <v>33.152933620137603</v>
      </c>
      <c r="G15" s="44">
        <v>3.6558101409220049E-5</v>
      </c>
      <c r="H15" s="112" t="b">
        <f t="shared" si="3"/>
        <v>1</v>
      </c>
      <c r="I15" s="54">
        <v>0.99789243765666702</v>
      </c>
    </row>
    <row r="16" spans="1:9" x14ac:dyDescent="0.35">
      <c r="A16" s="2" t="s">
        <v>14</v>
      </c>
      <c r="B16" s="39">
        <v>34.615356247234075</v>
      </c>
      <c r="C16" s="30">
        <v>3.5192120890118084E-5</v>
      </c>
      <c r="D16" s="30" t="b">
        <f t="shared" si="2"/>
        <v>1</v>
      </c>
      <c r="E16" s="84">
        <v>0.99898352989154338</v>
      </c>
      <c r="F16" s="85">
        <v>34.608622401670509</v>
      </c>
      <c r="G16" s="44">
        <v>3.8190290373202065E-5</v>
      </c>
      <c r="H16" s="112" t="b">
        <f t="shared" si="3"/>
        <v>1</v>
      </c>
      <c r="I16" s="54">
        <v>0.99835987634350354</v>
      </c>
    </row>
    <row r="17" spans="1:11" x14ac:dyDescent="0.35">
      <c r="A17" s="2" t="s">
        <v>5</v>
      </c>
      <c r="B17" s="39">
        <v>65.315746834734767</v>
      </c>
      <c r="C17" s="30">
        <v>4.0921229647645806E-5</v>
      </c>
      <c r="D17" s="30" t="b">
        <f t="shared" si="2"/>
        <v>1</v>
      </c>
      <c r="E17" s="84">
        <v>0.98483619964986535</v>
      </c>
      <c r="F17" s="85">
        <v>63.912030193660556</v>
      </c>
      <c r="G17" s="44">
        <v>4.6631141111003031E-5</v>
      </c>
      <c r="H17" s="112" t="b">
        <f t="shared" si="3"/>
        <v>1</v>
      </c>
      <c r="I17" s="54">
        <v>0.99166328812138171</v>
      </c>
    </row>
    <row r="18" spans="1:11" x14ac:dyDescent="0.35">
      <c r="A18" s="2" t="s">
        <v>8</v>
      </c>
      <c r="B18" s="39">
        <v>77.076321158351831</v>
      </c>
      <c r="C18" s="30">
        <v>3.8730494115558389E-5</v>
      </c>
      <c r="D18" s="30" t="b">
        <f t="shared" si="2"/>
        <v>1</v>
      </c>
      <c r="E18" s="84">
        <v>0.99787392763392913</v>
      </c>
      <c r="F18" s="85">
        <v>76.222310682405578</v>
      </c>
      <c r="G18" s="44">
        <v>4.3257874337237508E-5</v>
      </c>
      <c r="H18" s="112" t="b">
        <f t="shared" si="3"/>
        <v>1</v>
      </c>
      <c r="I18" s="54">
        <v>0.9984449271651118</v>
      </c>
    </row>
    <row r="19" spans="1:11" x14ac:dyDescent="0.35">
      <c r="A19" s="2" t="s">
        <v>9</v>
      </c>
      <c r="B19" s="39">
        <v>96.733614242897843</v>
      </c>
      <c r="C19" s="30">
        <v>3.1060986871331688E-5</v>
      </c>
      <c r="D19" s="30" t="b">
        <f t="shared" si="2"/>
        <v>1</v>
      </c>
      <c r="E19" s="84">
        <v>0.99164010851572038</v>
      </c>
      <c r="F19" s="85">
        <v>95.126178477612086</v>
      </c>
      <c r="G19" s="44">
        <v>3.3532449159562527E-5</v>
      </c>
      <c r="H19" s="112" t="b">
        <f t="shared" si="3"/>
        <v>1</v>
      </c>
      <c r="I19" s="54">
        <v>0.99931929067403513</v>
      </c>
    </row>
    <row r="21" spans="1:11" x14ac:dyDescent="0.35">
      <c r="C21" s="110"/>
    </row>
    <row r="23" spans="1:11" ht="15" thickBot="1" x14ac:dyDescent="0.4">
      <c r="C23" s="98" t="s">
        <v>86</v>
      </c>
      <c r="D23" s="98" t="s">
        <v>87</v>
      </c>
      <c r="E23" s="98" t="s">
        <v>89</v>
      </c>
      <c r="F23" s="98" t="s">
        <v>90</v>
      </c>
      <c r="G23" s="98" t="s">
        <v>88</v>
      </c>
      <c r="H23" s="98" t="s">
        <v>91</v>
      </c>
      <c r="I23" s="98" t="s">
        <v>92</v>
      </c>
    </row>
    <row r="24" spans="1:11" x14ac:dyDescent="0.35">
      <c r="A24" s="117" t="s">
        <v>33</v>
      </c>
      <c r="B24" s="102" t="s">
        <v>84</v>
      </c>
      <c r="C24" s="103">
        <f>AVERAGE($C$4:$C$11)</f>
        <v>6.806964541468997E-5</v>
      </c>
      <c r="D24" s="104">
        <f>_xlfn.STDEV.S($C$4:$C$11)</f>
        <v>2.4805672750916909E-5</v>
      </c>
      <c r="E24" s="104">
        <f>COUNT($C$4:$C$11)</f>
        <v>8</v>
      </c>
      <c r="F24" s="32">
        <v>0.01</v>
      </c>
      <c r="G24" s="104">
        <f>_xlfn.CONFIDENCE.T(F24,D24,E24)</f>
        <v>3.0690922425362356E-5</v>
      </c>
      <c r="H24" s="103">
        <f>$C24-$G24</f>
        <v>3.7378722989327613E-5</v>
      </c>
      <c r="I24" s="105">
        <f>$C24+$G24</f>
        <v>9.8760567840052333E-5</v>
      </c>
      <c r="K24" s="86"/>
    </row>
    <row r="25" spans="1:11" ht="15" thickBot="1" x14ac:dyDescent="0.4">
      <c r="A25" s="118"/>
      <c r="B25" s="106" t="s">
        <v>85</v>
      </c>
      <c r="C25" s="107">
        <f>AVERAGE($G$4:$G$11)</f>
        <v>7.8610619792239431E-5</v>
      </c>
      <c r="D25" s="107">
        <f>_xlfn.STDEV.S($G$4:$G$11)</f>
        <v>1.9271283513346272E-5</v>
      </c>
      <c r="E25" s="108">
        <f>COUNT($F$4:$F$11)</f>
        <v>5</v>
      </c>
      <c r="F25" s="34">
        <v>0.01</v>
      </c>
      <c r="G25" s="108">
        <f t="shared" ref="G25:G27" si="4">_xlfn.CONFIDENCE.T(F25,D25,E25)</f>
        <v>3.9679839110856188E-5</v>
      </c>
      <c r="H25" s="107">
        <f>$C25-$G25</f>
        <v>3.8930780681383242E-5</v>
      </c>
      <c r="I25" s="109">
        <f>$C25+$G25</f>
        <v>1.1829045890309563E-4</v>
      </c>
      <c r="K25" s="86"/>
    </row>
    <row r="26" spans="1:11" x14ac:dyDescent="0.35">
      <c r="A26" s="119" t="s">
        <v>47</v>
      </c>
      <c r="B26" s="99" t="s">
        <v>84</v>
      </c>
      <c r="C26" s="100">
        <f>AVERAGE($C$12:$C$20)</f>
        <v>3.9696876300122635E-5</v>
      </c>
      <c r="D26" s="100">
        <f>_xlfn.STDEV.S($C$12:$C$20)</f>
        <v>8.5275104431002446E-6</v>
      </c>
      <c r="E26" s="101">
        <f>COUNT($C$12:$C$20)</f>
        <v>8</v>
      </c>
      <c r="F26" s="32">
        <v>0.01</v>
      </c>
      <c r="G26" s="101">
        <f t="shared" si="4"/>
        <v>1.0550697984233585E-5</v>
      </c>
      <c r="H26" s="100">
        <f>$C26-$G26</f>
        <v>2.9146178315889051E-5</v>
      </c>
      <c r="I26" s="100">
        <f>$C26+$G26</f>
        <v>5.0247574284356216E-5</v>
      </c>
      <c r="K26" s="86"/>
    </row>
    <row r="27" spans="1:11" ht="15" thickBot="1" x14ac:dyDescent="0.4">
      <c r="A27" s="119"/>
      <c r="B27" s="97" t="s">
        <v>85</v>
      </c>
      <c r="C27" s="96">
        <f>AVERAGE($G$12:$G$20)</f>
        <v>4.2999199218347174E-5</v>
      </c>
      <c r="D27" s="96">
        <f>_xlfn.STDEV.S($G$12:$G$20)</f>
        <v>7.8060537737150369E-6</v>
      </c>
      <c r="E27" s="59">
        <f>COUNT($G$12:$G$20)</f>
        <v>8</v>
      </c>
      <c r="F27" s="34">
        <v>0.01</v>
      </c>
      <c r="G27" s="59">
        <f t="shared" si="4"/>
        <v>9.6580727006664112E-6</v>
      </c>
      <c r="H27" s="96">
        <f>$C27-$G27</f>
        <v>3.3341126517680763E-5</v>
      </c>
      <c r="I27" s="96">
        <f>$C27+$G27</f>
        <v>5.2657271919013586E-5</v>
      </c>
      <c r="K27" s="86"/>
    </row>
  </sheetData>
  <mergeCells count="4">
    <mergeCell ref="B2:E2"/>
    <mergeCell ref="F2:I2"/>
    <mergeCell ref="A24:A25"/>
    <mergeCell ref="A26:A27"/>
  </mergeCells>
  <conditionalFormatting sqref="D4:D19">
    <cfRule type="expression" dxfId="7" priority="4">
      <formula>D4=TRUE</formula>
    </cfRule>
    <cfRule type="expression" dxfId="6" priority="5">
      <formula>D4=FALSE</formula>
    </cfRule>
  </conditionalFormatting>
  <conditionalFormatting sqref="H4:H5 H9:H1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{20E2B795-4BF2-41DC-A1C8-38D2CDC3B2E1}</x14:id>
        </ext>
      </extLst>
    </cfRule>
  </conditionalFormatting>
  <conditionalFormatting sqref="H4:H5 H9:H19">
    <cfRule type="expression" dxfId="5" priority="1">
      <formula>H4=TRUE</formula>
    </cfRule>
    <cfRule type="expression" dxfId="4" priority="2">
      <formula>H4=FALSE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E2B795-4BF2-41DC-A1C8-38D2CDC3B2E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H4:H5 H9:H19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72368-3C28-4D0B-BD8A-40B81610B3B0}">
  <dimension ref="A1:K18"/>
  <sheetViews>
    <sheetView zoomScale="85" zoomScaleNormal="85" workbookViewId="0">
      <selection activeCell="F29" sqref="F29"/>
    </sheetView>
  </sheetViews>
  <sheetFormatPr baseColWidth="10" defaultRowHeight="14.5" x14ac:dyDescent="0.35"/>
  <cols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11" ht="15" thickBot="1" x14ac:dyDescent="0.4"/>
    <row r="2" spans="1:11" x14ac:dyDescent="0.35">
      <c r="B2" s="116" t="s">
        <v>94</v>
      </c>
      <c r="C2" s="116"/>
      <c r="D2" s="116"/>
      <c r="E2" s="116"/>
    </row>
    <row r="3" spans="1:11" ht="15" thickBot="1" x14ac:dyDescent="0.4">
      <c r="B3" s="95" t="s">
        <v>72</v>
      </c>
      <c r="C3" s="95" t="s">
        <v>21</v>
      </c>
      <c r="D3" s="95" t="s">
        <v>93</v>
      </c>
      <c r="E3" s="95" t="s">
        <v>20</v>
      </c>
    </row>
    <row r="4" spans="1:11" x14ac:dyDescent="0.35">
      <c r="A4" s="2" t="s">
        <v>6</v>
      </c>
      <c r="B4" s="38">
        <v>13.956228923426618</v>
      </c>
      <c r="C4" s="32">
        <v>5.7674330015737343E-5</v>
      </c>
      <c r="D4" s="32" t="b">
        <f t="shared" ref="D4:D12" si="0">AND(C4&gt;$G$15,C4&lt;$H$15)</f>
        <v>0</v>
      </c>
      <c r="E4" s="91">
        <v>0.99281551305296867</v>
      </c>
    </row>
    <row r="5" spans="1:11" x14ac:dyDescent="0.35">
      <c r="A5" s="2" t="s">
        <v>11</v>
      </c>
      <c r="B5" s="39">
        <v>27.544981764828908</v>
      </c>
      <c r="C5" s="30">
        <v>4.1219297931074816E-5</v>
      </c>
      <c r="D5" s="30" t="b">
        <f t="shared" si="0"/>
        <v>1</v>
      </c>
      <c r="E5" s="84">
        <v>0.99813384438092401</v>
      </c>
    </row>
    <row r="6" spans="1:11" x14ac:dyDescent="0.35">
      <c r="A6" s="2" t="s">
        <v>7</v>
      </c>
      <c r="B6" s="39">
        <v>32.54560143810447</v>
      </c>
      <c r="C6" s="30">
        <v>4.2059448563366171E-5</v>
      </c>
      <c r="D6" s="30" t="b">
        <f t="shared" si="0"/>
        <v>1</v>
      </c>
      <c r="E6" s="84">
        <v>0.99834997171188788</v>
      </c>
    </row>
    <row r="7" spans="1:11" x14ac:dyDescent="0.35">
      <c r="A7" s="2" t="s">
        <v>10</v>
      </c>
      <c r="B7" s="39">
        <v>34.092898823423802</v>
      </c>
      <c r="C7" s="30">
        <v>3.0717102366148833E-5</v>
      </c>
      <c r="D7" s="30" t="b">
        <f t="shared" si="0"/>
        <v>1</v>
      </c>
      <c r="E7" s="84">
        <v>0.99780655173412536</v>
      </c>
    </row>
    <row r="8" spans="1:11" x14ac:dyDescent="0.35">
      <c r="A8" s="2" t="s">
        <v>14</v>
      </c>
      <c r="B8" s="39">
        <v>34.615356247234075</v>
      </c>
      <c r="C8" s="30">
        <v>3.5192120890118084E-5</v>
      </c>
      <c r="D8" s="30" t="b">
        <f t="shared" si="0"/>
        <v>1</v>
      </c>
      <c r="E8" s="84">
        <v>0.99898352989154338</v>
      </c>
    </row>
    <row r="9" spans="1:11" x14ac:dyDescent="0.35">
      <c r="A9" s="2" t="s">
        <v>5</v>
      </c>
      <c r="B9" s="39">
        <v>65.315746834734767</v>
      </c>
      <c r="C9" s="30">
        <v>4.0921229647645806E-5</v>
      </c>
      <c r="D9" s="30" t="b">
        <f t="shared" si="0"/>
        <v>1</v>
      </c>
      <c r="E9" s="84">
        <v>0.98483619964986535</v>
      </c>
    </row>
    <row r="10" spans="1:11" x14ac:dyDescent="0.35">
      <c r="A10" s="2" t="s">
        <v>8</v>
      </c>
      <c r="B10" s="39">
        <v>77.076321158351831</v>
      </c>
      <c r="C10" s="30">
        <v>3.8730494115558389E-5</v>
      </c>
      <c r="D10" s="30" t="b">
        <f t="shared" si="0"/>
        <v>1</v>
      </c>
      <c r="E10" s="84">
        <v>0.99787392763392913</v>
      </c>
    </row>
    <row r="11" spans="1:11" x14ac:dyDescent="0.35">
      <c r="A11" s="2" t="s">
        <v>9</v>
      </c>
      <c r="B11" s="39">
        <v>96.733614242897843</v>
      </c>
      <c r="C11" s="30">
        <v>3.1060986871331688E-5</v>
      </c>
      <c r="D11" s="30" t="b">
        <f t="shared" si="0"/>
        <v>1</v>
      </c>
      <c r="E11" s="84">
        <v>0.99164010851572038</v>
      </c>
    </row>
    <row r="12" spans="1:11" ht="15" thickBot="1" x14ac:dyDescent="0.4">
      <c r="A12" s="2" t="s">
        <v>15</v>
      </c>
      <c r="B12" s="40">
        <v>96.739428122779699</v>
      </c>
      <c r="C12" s="34">
        <v>2.1902117170888224E-5</v>
      </c>
      <c r="D12" s="34" t="b">
        <f t="shared" si="0"/>
        <v>0</v>
      </c>
      <c r="E12" s="93">
        <v>0.99299058272004259</v>
      </c>
    </row>
    <row r="14" spans="1:11" x14ac:dyDescent="0.35">
      <c r="B14" s="98" t="s">
        <v>86</v>
      </c>
      <c r="C14" s="98" t="s">
        <v>87</v>
      </c>
      <c r="D14" s="98" t="s">
        <v>89</v>
      </c>
      <c r="E14" s="98" t="s">
        <v>90</v>
      </c>
      <c r="F14" s="98" t="s">
        <v>88</v>
      </c>
      <c r="G14" s="98" t="s">
        <v>91</v>
      </c>
      <c r="H14" s="98" t="s">
        <v>92</v>
      </c>
    </row>
    <row r="15" spans="1:11" x14ac:dyDescent="0.35">
      <c r="A15" s="99" t="s">
        <v>84</v>
      </c>
      <c r="B15" s="100">
        <f>AVERAGE($C$4:$C$12)</f>
        <v>3.7719680841318811E-5</v>
      </c>
      <c r="C15" s="100">
        <f>_xlfn.STDEV.S($C$4:$C$12)</f>
        <v>9.9404399803713887E-6</v>
      </c>
      <c r="D15" s="101">
        <f>COUNT($C$4:$C$12)</f>
        <v>9</v>
      </c>
      <c r="E15" s="83">
        <v>0.05</v>
      </c>
      <c r="F15" s="101">
        <f>_xlfn.CONFIDENCE.T(E15,C15,D15)</f>
        <v>7.6408985668284169E-6</v>
      </c>
      <c r="G15" s="100">
        <f>$B15-$F15</f>
        <v>3.0078782274490396E-5</v>
      </c>
      <c r="H15" s="100">
        <f>$B15+$F15</f>
        <v>4.5360579408147227E-5</v>
      </c>
    </row>
    <row r="16" spans="1:11" x14ac:dyDescent="0.35">
      <c r="K16" s="86"/>
    </row>
    <row r="17" spans="11:11" x14ac:dyDescent="0.35">
      <c r="K17" s="86"/>
    </row>
    <row r="18" spans="11:11" x14ac:dyDescent="0.35">
      <c r="K18" s="86"/>
    </row>
  </sheetData>
  <mergeCells count="1">
    <mergeCell ref="B2:E2"/>
  </mergeCells>
  <conditionalFormatting sqref="D4:D12">
    <cfRule type="expression" dxfId="3" priority="4">
      <formula>D4=TRUE</formula>
    </cfRule>
    <cfRule type="expression" dxfId="2" priority="5">
      <formula>D4=FALSE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780FA-35E8-4281-BECA-28604BD07414}">
  <dimension ref="A1:K18"/>
  <sheetViews>
    <sheetView zoomScale="85" zoomScaleNormal="85" workbookViewId="0">
      <selection activeCell="H5" sqref="H5"/>
    </sheetView>
  </sheetViews>
  <sheetFormatPr baseColWidth="10" defaultRowHeight="14.5" x14ac:dyDescent="0.35"/>
  <cols>
    <col min="1" max="1" width="17.7265625" bestFit="1" customWidth="1"/>
    <col min="2" max="2" width="17.54296875" bestFit="1" customWidth="1"/>
    <col min="3" max="3" width="11" bestFit="1" customWidth="1"/>
    <col min="4" max="5" width="17.7265625" bestFit="1" customWidth="1"/>
    <col min="6" max="6" width="11" bestFit="1" customWidth="1"/>
    <col min="7" max="8" width="11.81640625" bestFit="1" customWidth="1"/>
    <col min="9" max="10" width="11" bestFit="1" customWidth="1"/>
  </cols>
  <sheetData>
    <row r="1" spans="1:11" ht="15" thickBot="1" x14ac:dyDescent="0.4"/>
    <row r="2" spans="1:11" x14ac:dyDescent="0.35">
      <c r="B2" s="116" t="s">
        <v>94</v>
      </c>
      <c r="C2" s="116"/>
      <c r="D2" s="116"/>
      <c r="E2" s="116"/>
    </row>
    <row r="3" spans="1:11" ht="15" thickBot="1" x14ac:dyDescent="0.4">
      <c r="B3" s="95" t="s">
        <v>72</v>
      </c>
      <c r="C3" s="95" t="s">
        <v>21</v>
      </c>
      <c r="D3" s="95" t="s">
        <v>93</v>
      </c>
      <c r="E3" s="95" t="s">
        <v>20</v>
      </c>
    </row>
    <row r="4" spans="1:11" x14ac:dyDescent="0.35">
      <c r="A4" s="2" t="s">
        <v>6</v>
      </c>
      <c r="B4" s="38">
        <v>13.956228923426618</v>
      </c>
      <c r="C4" s="32">
        <v>5.7674330015737343E-5</v>
      </c>
      <c r="D4" s="32" t="b">
        <f t="shared" ref="D4:D11" si="0">AND(C4&gt;$G$15,C4&lt;$H$15)</f>
        <v>0</v>
      </c>
      <c r="E4" s="91">
        <v>0.99281551305296867</v>
      </c>
    </row>
    <row r="5" spans="1:11" x14ac:dyDescent="0.35">
      <c r="A5" s="2" t="s">
        <v>11</v>
      </c>
      <c r="B5" s="39">
        <v>27.544981764828908</v>
      </c>
      <c r="C5" s="30">
        <v>4.1219297931074816E-5</v>
      </c>
      <c r="D5" s="30" t="b">
        <f t="shared" si="0"/>
        <v>1</v>
      </c>
      <c r="E5" s="84">
        <v>0.99813384438092401</v>
      </c>
    </row>
    <row r="6" spans="1:11" x14ac:dyDescent="0.35">
      <c r="A6" s="2" t="s">
        <v>7</v>
      </c>
      <c r="B6" s="39">
        <v>32.54560143810447</v>
      </c>
      <c r="C6" s="30">
        <v>4.2059448563366171E-5</v>
      </c>
      <c r="D6" s="30" t="b">
        <f t="shared" si="0"/>
        <v>1</v>
      </c>
      <c r="E6" s="84">
        <v>0.99834997171188788</v>
      </c>
    </row>
    <row r="7" spans="1:11" x14ac:dyDescent="0.35">
      <c r="A7" s="2" t="s">
        <v>10</v>
      </c>
      <c r="B7" s="39">
        <v>34.092898823423802</v>
      </c>
      <c r="C7" s="30">
        <v>3.0717102366148833E-5</v>
      </c>
      <c r="D7" s="30" t="b">
        <f t="shared" si="0"/>
        <v>1</v>
      </c>
      <c r="E7" s="84">
        <v>0.99780655173412536</v>
      </c>
    </row>
    <row r="8" spans="1:11" x14ac:dyDescent="0.35">
      <c r="A8" s="2" t="s">
        <v>14</v>
      </c>
      <c r="B8" s="39">
        <v>34.615356247234075</v>
      </c>
      <c r="C8" s="30">
        <v>3.5192120890118084E-5</v>
      </c>
      <c r="D8" s="30" t="b">
        <f t="shared" si="0"/>
        <v>1</v>
      </c>
      <c r="E8" s="84">
        <v>0.99898352989154338</v>
      </c>
    </row>
    <row r="9" spans="1:11" x14ac:dyDescent="0.35">
      <c r="A9" s="2" t="s">
        <v>5</v>
      </c>
      <c r="B9" s="39">
        <v>65.315746834734767</v>
      </c>
      <c r="C9" s="30">
        <v>4.0921229647645806E-5</v>
      </c>
      <c r="D9" s="30" t="b">
        <f t="shared" si="0"/>
        <v>1</v>
      </c>
      <c r="E9" s="84">
        <v>0.98483619964986535</v>
      </c>
    </row>
    <row r="10" spans="1:11" x14ac:dyDescent="0.35">
      <c r="A10" s="2" t="s">
        <v>8</v>
      </c>
      <c r="B10" s="39">
        <v>77.076321158351831</v>
      </c>
      <c r="C10" s="30">
        <v>3.8730494115558389E-5</v>
      </c>
      <c r="D10" s="30" t="b">
        <f t="shared" si="0"/>
        <v>1</v>
      </c>
      <c r="E10" s="84">
        <v>0.99787392763392913</v>
      </c>
    </row>
    <row r="11" spans="1:11" x14ac:dyDescent="0.35">
      <c r="A11" s="2" t="s">
        <v>9</v>
      </c>
      <c r="B11" s="39">
        <v>96.733614242897843</v>
      </c>
      <c r="C11" s="30">
        <v>3.1060986871331688E-5</v>
      </c>
      <c r="D11" s="30" t="b">
        <f t="shared" si="0"/>
        <v>1</v>
      </c>
      <c r="E11" s="84">
        <v>0.99164010851572038</v>
      </c>
    </row>
    <row r="14" spans="1:11" x14ac:dyDescent="0.35">
      <c r="B14" s="98" t="s">
        <v>86</v>
      </c>
      <c r="C14" s="98" t="s">
        <v>87</v>
      </c>
      <c r="D14" s="98" t="s">
        <v>89</v>
      </c>
      <c r="E14" s="98" t="s">
        <v>90</v>
      </c>
      <c r="F14" s="98" t="s">
        <v>88</v>
      </c>
      <c r="G14" s="98" t="s">
        <v>91</v>
      </c>
      <c r="H14" s="98" t="s">
        <v>92</v>
      </c>
    </row>
    <row r="15" spans="1:11" x14ac:dyDescent="0.35">
      <c r="A15" s="99" t="s">
        <v>84</v>
      </c>
      <c r="B15" s="100">
        <f>AVERAGE($C$4:$C$12)</f>
        <v>3.9696876300122635E-5</v>
      </c>
      <c r="C15" s="100">
        <f>_xlfn.STDEV.S($C$4:$C$12)</f>
        <v>8.5275104431002446E-6</v>
      </c>
      <c r="D15" s="101">
        <f>COUNT($C$4:$C$12)</f>
        <v>8</v>
      </c>
      <c r="E15" s="83">
        <v>0.01</v>
      </c>
      <c r="F15" s="101">
        <f>_xlfn.CONFIDENCE.T(E15,C15,D15)</f>
        <v>1.0550697984233585E-5</v>
      </c>
      <c r="G15" s="100">
        <f>$B15-$F15</f>
        <v>2.9146178315889051E-5</v>
      </c>
      <c r="H15" s="100">
        <f>$B15+$F15</f>
        <v>5.0247574284356216E-5</v>
      </c>
    </row>
    <row r="16" spans="1:11" x14ac:dyDescent="0.35">
      <c r="K16" s="86"/>
    </row>
    <row r="17" spans="11:11" x14ac:dyDescent="0.35">
      <c r="K17" s="86"/>
    </row>
    <row r="18" spans="11:11" x14ac:dyDescent="0.35">
      <c r="K18" s="86"/>
    </row>
  </sheetData>
  <mergeCells count="1">
    <mergeCell ref="B2:E2"/>
  </mergeCells>
  <conditionalFormatting sqref="D4:D11">
    <cfRule type="expression" dxfId="1" priority="1">
      <formula>D4=TRUE</formula>
    </cfRule>
    <cfRule type="expression" dxfId="0" priority="2">
      <formula>D4=FALSE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16</vt:i4>
      </vt:variant>
    </vt:vector>
  </HeadingPairs>
  <TitlesOfParts>
    <vt:vector size="25" baseType="lpstr">
      <vt:lpstr>Hoja1</vt:lpstr>
      <vt:lpstr>Info</vt:lpstr>
      <vt:lpstr>Models</vt:lpstr>
      <vt:lpstr>INTERVAL_95%_TOTS</vt:lpstr>
      <vt:lpstr>INTERVAL_95%_TOTS_AO_fora</vt:lpstr>
      <vt:lpstr>INTERVAL_99%_TOTS</vt:lpstr>
      <vt:lpstr>INTERVAL_99%_TOTS_AO_fora</vt:lpstr>
      <vt:lpstr>INTERVAL_95%_ALVARO_IE</vt:lpstr>
      <vt:lpstr>INTERVAL_99%_ALVARO_IE</vt:lpstr>
      <vt:lpstr>Hoja1!_Toc142648973</vt:lpstr>
      <vt:lpstr>Hoja1!_Toc142648974</vt:lpstr>
      <vt:lpstr>Hoja1!_Toc142648975</vt:lpstr>
      <vt:lpstr>Hoja1!_Toc142648976</vt:lpstr>
      <vt:lpstr>Hoja1!_Toc142648977</vt:lpstr>
      <vt:lpstr>Hoja1!_Toc142648978</vt:lpstr>
      <vt:lpstr>Hoja1!_Toc142648979</vt:lpstr>
      <vt:lpstr>Hoja1!_Toc142648980</vt:lpstr>
      <vt:lpstr>Hoja1!_Toc142648981</vt:lpstr>
      <vt:lpstr>Hoja1!_Toc142648982</vt:lpstr>
      <vt:lpstr>Hoja1!_Toc142648983</vt:lpstr>
      <vt:lpstr>Hoja1!_Toc142648984</vt:lpstr>
      <vt:lpstr>Hoja1!_Toc142648985</vt:lpstr>
      <vt:lpstr>Hoja1!_Toc142648986</vt:lpstr>
      <vt:lpstr>Hoja1!_Toc142648987</vt:lpstr>
      <vt:lpstr>Hoja1!_Toc142648988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Lluc Aresté Saló</dc:creator>
  <cp:lastModifiedBy>Lluc Aresté Saló</cp:lastModifiedBy>
  <dcterms:created xsi:type="dcterms:W3CDTF">2015-06-05T18:17:20Z</dcterms:created>
  <dcterms:modified xsi:type="dcterms:W3CDTF">2023-08-20T16:51:39Z</dcterms:modified>
</cp:coreProperties>
</file>